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Planificacion" sheetId="3" state="visible" r:id="rId3"/>
    <sheet name="Traduccion de mensajes" sheetId="4" state="visible" r:id="rId4"/>
    <sheet name="Gestion de conversaciones" sheetId="5" state="visible" r:id="rId5"/>
    <sheet name="Cuenta de usuario" sheetId="6" state="visible" r:id="rId6"/>
    <sheet name="Participacion interlocutor" sheetId="7" state="visible" r:id="rId7"/>
    <sheet name="Reportes" sheetId="8" state="visible" r:id="rId8"/>
    <sheet name="Admin idiomas y regiones" sheetId="9" state="visible" r:id="rId9"/>
  </sheets>
  <definedNames/>
  <calcPr calcId="191029"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
      <b val="1"/>
      <sz val="12"/>
    </font>
    <font>
      <b val="1"/>
    </font>
  </fonts>
  <fills count="10">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
      <patternFill patternType="solid">
        <fgColor rgb="0092D050"/>
      </patternFill>
    </fill>
  </fills>
  <borders count="29">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6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12" fillId="0" borderId="0" pivotButton="0" quotePrefix="0" xfId="0"/>
    <xf numFmtId="0" fontId="13" fillId="9" borderId="28" applyAlignment="1" pivotButton="0" quotePrefix="0" xfId="0">
      <alignment horizontal="center" wrapText="1"/>
    </xf>
    <xf numFmtId="0" fontId="0" fillId="0" borderId="28" pivotButton="0" quotePrefix="0" xfId="0"/>
    <xf numFmtId="0" fontId="0" fillId="0" borderId="28" applyAlignment="1" pivotButton="0" quotePrefix="0" xfId="0">
      <alignment horizontal="center"/>
    </xf>
    <xf numFmtId="9" fontId="0" fillId="0" borderId="28" applyAlignment="1" pivotButton="0" quotePrefix="0" xfId="0">
      <alignment horizontal="center"/>
    </xf>
    <xf numFmtId="0" fontId="0" fillId="0" borderId="28" applyAlignment="1" pivotButton="0" quotePrefix="0" xfId="0">
      <alignment horizontal="center" vertical="top" wrapText="1"/>
    </xf>
    <xf numFmtId="0" fontId="0" fillId="0" borderId="28" applyAlignment="1" pivotButton="0" quotePrefix="0" xfId="0">
      <alignment horizontal="left" vertical="top" wrapText="1"/>
    </xf>
    <xf numFmtId="0" fontId="13"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row>
    <row r="5" ht="78" customHeight="1">
      <c r="A5" s="40" t="n"/>
      <c r="B5" s="37" t="n"/>
      <c r="C5" s="7" t="inlineStr">
        <is>
          <t>Comunicarse de inmediato sin tener que repetir la configuración de idioma en cada mensaje.</t>
        </is>
      </c>
      <c r="D5" s="53" t="inlineStr">
        <is>
          <t>Si el usuario tiene que volver a escoger los idiomas cada vez que envia un mensaje, pierde tiempo y la conversacion se vuelve lenta.</t>
        </is>
      </c>
      <c r="E5" s="53" t="inlineStr">
        <is>
          <t>Empezar a hablar de una vez, sin repetir la configuracion.</t>
        </is>
      </c>
      <c r="F5" s="14" t="inlineStr">
        <is>
          <t>Gestion de conversaciones</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Gestion de conversaciones</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Gestion de conversaciones</t>
        </is>
      </c>
      <c r="G7" s="32" t="n"/>
    </row>
    <row r="8" ht="78" customHeight="1">
      <c r="A8" s="40" t="n"/>
      <c r="B8" s="37" t="n"/>
      <c r="C8" s="7" t="inlineStr">
        <is>
          <t>Acceder a la cuenta de forma segura, para que las conversaciones y la configuracion queden guardadas y solo el usuario pueda verlas.</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Participacion del interlocutor</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Reportes</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A4:A13"/>
    <mergeCell ref="C1:E1"/>
    <mergeCell ref="B4:B10"/>
    <mergeCell ref="G1:G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0" tabSelected="1" zoomScale="200" zoomScaleNormal="200" workbookViewId="0">
      <pane xSplit="2" ySplit="1" topLeftCell="C2" activePane="bottomRight" state="frozen"/>
      <selection pane="topRight" activeCell="A1" sqref="A1"/>
      <selection pane="bottomLeft" activeCell="A1" sqref="A1"/>
      <selection pane="bottomRight"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 width="14" customWidth="1" min="7" max="7"/>
    <col width="9" customWidth="1" min="8" max="8"/>
    <col width="9" customWidth="1" min="9" max="9"/>
    <col width="9" customWidth="1" min="10" max="10"/>
    <col width="70" customWidth="1" min="11" max="11"/>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c r="G1" t="inlineStr">
        <is>
          <t>Prioridad (valor)</t>
        </is>
      </c>
      <c r="H1" t="inlineStr">
        <is>
          <t>Talla</t>
        </is>
      </c>
      <c r="I1" t="inlineStr">
        <is>
          <t>Horas</t>
        </is>
      </c>
      <c r="J1" t="inlineStr">
        <is>
          <t>Sprint</t>
        </is>
      </c>
      <c r="K1" t="inlineStr">
        <is>
          <t>Por que genera valor</t>
        </is>
      </c>
    </row>
    <row r="2" ht="16" customHeight="1">
      <c r="A2" s="33" t="inlineStr">
        <is>
          <t>Traduccion de mensajes</t>
        </is>
      </c>
      <c r="B2" s="33" t="inlineStr">
        <is>
          <t>HU0001</t>
        </is>
      </c>
      <c r="C2" s="23" t="inlineStr">
        <is>
          <t>Ingresar mi mensaje hablando</t>
        </is>
      </c>
      <c r="D2" t="inlineStr">
        <is>
          <t>Cliente Traductor</t>
        </is>
      </c>
      <c r="E2">
        <f>C2</f>
        <v/>
      </c>
      <c r="F2">
        <f>'Mapa de Impacto'!C4</f>
        <v/>
      </c>
      <c r="G2" s="57" t="n">
        <v>3</v>
      </c>
      <c r="H2" s="57" t="inlineStr">
        <is>
          <t>L</t>
        </is>
      </c>
      <c r="I2" s="57">
        <f>VLOOKUP(H2,Planificacion!$A$4:$B$9,2,FALSE)</f>
        <v/>
      </c>
      <c r="J2" s="57" t="n">
        <v>1</v>
      </c>
      <c r="K2" s="58" t="inlineStr">
        <is>
          <t>Es la forma natural de usar el producto: hablar y ser entendido sin escribir.</t>
        </is>
      </c>
    </row>
    <row r="3" ht="16" customHeight="1">
      <c r="A3" s="34" t="n"/>
      <c r="B3" s="33" t="inlineStr">
        <is>
          <t>HU0002</t>
        </is>
      </c>
      <c r="C3" s="23" t="inlineStr">
        <is>
          <t>Ingresar mi mensaje escribiendo</t>
        </is>
      </c>
      <c r="D3" t="inlineStr">
        <is>
          <t>Cliente Traductor</t>
        </is>
      </c>
      <c r="E3">
        <f>C3</f>
        <v/>
      </c>
      <c r="F3">
        <f>'Mapa de Impacto'!C4</f>
        <v/>
      </c>
      <c r="G3" s="57" t="n">
        <v>2</v>
      </c>
      <c r="H3" s="57" t="inlineStr">
        <is>
          <t>S</t>
        </is>
      </c>
      <c r="I3" s="57">
        <f>VLOOKUP(H3,Planificacion!$A$4:$B$9,2,FALSE)</f>
        <v/>
      </c>
      <c r="J3" s="57" t="n">
        <v>1</v>
      </c>
      <c r="K3" s="58" t="inlineStr">
        <is>
          <t>Es la entrada mas simple y la que permite usar la traduccion desde el primer dia.</t>
        </is>
      </c>
    </row>
    <row r="4" ht="16" customHeight="1">
      <c r="A4" s="34" t="n"/>
      <c r="B4" s="33" t="inlineStr">
        <is>
          <t>HU0003</t>
        </is>
      </c>
      <c r="C4" s="23" t="inlineStr">
        <is>
          <t>Traducir mi mensaje al idioma destino en tiempo real</t>
        </is>
      </c>
      <c r="D4" t="inlineStr">
        <is>
          <t>Cliente Traductor</t>
        </is>
      </c>
      <c r="E4">
        <f>C4</f>
        <v/>
      </c>
      <c r="F4">
        <f>'Mapa de Impacto'!C4</f>
        <v/>
      </c>
      <c r="G4" s="57" t="n">
        <v>1</v>
      </c>
      <c r="H4" s="57" t="inlineStr">
        <is>
          <t>XXL</t>
        </is>
      </c>
      <c r="I4" s="57">
        <f>VLOOKUP(H4,Planificacion!$A$4:$B$9,2,FALSE)</f>
        <v/>
      </c>
      <c r="J4" s="57" t="n">
        <v>1</v>
      </c>
      <c r="K4" s="58" t="inlineStr">
        <is>
          <t>Es el corazon del producto: sin esto TalkLate no entrega su valor diferencial.</t>
        </is>
      </c>
    </row>
    <row r="5" ht="16" customHeight="1">
      <c r="A5" s="34" t="n"/>
      <c r="B5" s="33" t="inlineStr">
        <is>
          <t>HU0004</t>
        </is>
      </c>
      <c r="C5" s="23" t="inlineStr">
        <is>
          <t>Escuchar el mensaje traducido</t>
        </is>
      </c>
      <c r="D5" t="inlineStr">
        <is>
          <t>Cliente Traductor</t>
        </is>
      </c>
      <c r="E5">
        <f>C5</f>
        <v/>
      </c>
      <c r="F5">
        <f>'Mapa de Impacto'!C9</f>
        <v/>
      </c>
      <c r="G5" s="57" t="n">
        <v>4</v>
      </c>
      <c r="H5" s="57" t="inlineStr">
        <is>
          <t>M</t>
        </is>
      </c>
      <c r="I5" s="57">
        <f>VLOOKUP(H5,Planificacion!$A$4:$B$9,2,FALSE)</f>
        <v/>
      </c>
      <c r="J5" s="57" t="n">
        <v>1</v>
      </c>
      <c r="K5" s="58" t="inlineStr">
        <is>
          <t>Permite que la otra persona reciba el mensaje de forma comoda y natural.</t>
        </is>
      </c>
    </row>
    <row r="6" ht="16" customHeight="1">
      <c r="A6" s="35" t="n"/>
      <c r="B6" s="33" t="inlineStr">
        <is>
          <t>HU0005</t>
        </is>
      </c>
      <c r="C6" s="23" t="inlineStr">
        <is>
          <t>Recibir la traduccion por el mismo canal que use</t>
        </is>
      </c>
      <c r="D6" t="inlineStr">
        <is>
          <t>Cliente Traductor</t>
        </is>
      </c>
      <c r="E6">
        <f>C6</f>
        <v/>
      </c>
      <c r="F6">
        <f>'Mapa de Impacto'!C9</f>
        <v/>
      </c>
      <c r="G6" s="57" t="n">
        <v>5</v>
      </c>
      <c r="H6" s="57" t="inlineStr">
        <is>
          <t>S</t>
        </is>
      </c>
      <c r="I6" s="57">
        <f>VLOOKUP(H6,Planificacion!$A$4:$B$9,2,FALSE)</f>
        <v/>
      </c>
      <c r="J6" s="57" t="n">
        <v>1</v>
      </c>
      <c r="K6" s="58" t="inlineStr">
        <is>
          <t>Mantiene la experiencia coherente: si hablo, escucho; si escribo, leo.</t>
        </is>
      </c>
    </row>
    <row r="7" ht="16" customHeight="1">
      <c r="A7" s="33" t="inlineStr">
        <is>
          <t>Gestion de conversaciones</t>
        </is>
      </c>
      <c r="B7" s="33" t="inlineStr">
        <is>
          <t>HU0006</t>
        </is>
      </c>
      <c r="C7" s="23" t="inlineStr">
        <is>
          <t>Seleccionar el idioma y la region destino</t>
        </is>
      </c>
      <c r="D7" t="inlineStr">
        <is>
          <t>Cliente Traductor</t>
        </is>
      </c>
      <c r="E7">
        <f>C7</f>
        <v/>
      </c>
      <c r="F7">
        <f>'Mapa de Impacto'!C5</f>
        <v/>
      </c>
      <c r="G7" s="57" t="n">
        <v>6</v>
      </c>
      <c r="H7" s="57" t="inlineStr">
        <is>
          <t>M</t>
        </is>
      </c>
      <c r="I7" s="57">
        <f>VLOOKUP(H7,Planificacion!$A$4:$B$9,2,FALSE)</f>
        <v/>
      </c>
      <c r="J7" s="57" t="n">
        <v>1</v>
      </c>
      <c r="K7" s="58" t="inlineStr">
        <is>
          <t>Define a que persona y lugar se adapta el mensaje: de ahi sale el matiz cultural.</t>
        </is>
      </c>
    </row>
    <row r="8" ht="16" customHeight="1">
      <c r="A8" s="34" t="n"/>
      <c r="B8" s="33" t="inlineStr">
        <is>
          <t>HU0007</t>
        </is>
      </c>
      <c r="C8" s="23" t="inlineStr">
        <is>
          <t>Reconocer el idioma origen</t>
        </is>
      </c>
      <c r="D8" t="inlineStr">
        <is>
          <t>Cliente Traductor</t>
        </is>
      </c>
      <c r="E8">
        <f>C8</f>
        <v/>
      </c>
      <c r="F8">
        <f>'Mapa de Impacto'!C5</f>
        <v/>
      </c>
      <c r="G8" s="57" t="n">
        <v>7</v>
      </c>
      <c r="H8" s="57" t="inlineStr">
        <is>
          <t>L</t>
        </is>
      </c>
      <c r="I8" s="57">
        <f>VLOOKUP(H8,Planificacion!$A$4:$B$9,2,FALSE)</f>
        <v/>
      </c>
      <c r="J8" s="57" t="n">
        <v>2</v>
      </c>
      <c r="K8" s="58" t="inlineStr">
        <is>
          <t>Evita configurar a mano el idioma cada vez y acelera la conversacion.</t>
        </is>
      </c>
    </row>
    <row r="9" ht="16" customHeight="1">
      <c r="A9" s="34" t="n"/>
      <c r="B9" s="33" t="inlineStr">
        <is>
          <t>HU0008</t>
        </is>
      </c>
      <c r="C9" s="23" t="inlineStr">
        <is>
          <t>Crear una conversacion</t>
        </is>
      </c>
      <c r="D9" t="inlineStr">
        <is>
          <t>Cliente Traductor</t>
        </is>
      </c>
      <c r="E9">
        <f>C9</f>
        <v/>
      </c>
      <c r="F9">
        <f>'Mapa de Impacto'!C6</f>
        <v/>
      </c>
      <c r="G9" s="57" t="n">
        <v>8</v>
      </c>
      <c r="H9" s="57" t="inlineStr">
        <is>
          <t>S</t>
        </is>
      </c>
      <c r="I9" s="57">
        <f>VLOOKUP(H9,Planificacion!$A$4:$B$9,2,FALSE)</f>
        <v/>
      </c>
      <c r="J9" s="57" t="n">
        <v>2</v>
      </c>
      <c r="K9" s="58" t="inlineStr">
        <is>
          <t>Agrupa los mensajes de una misma charla para no perder el contexto.</t>
        </is>
      </c>
    </row>
    <row r="10" ht="16" customHeight="1">
      <c r="A10" s="34" t="n"/>
      <c r="B10" s="33" t="inlineStr">
        <is>
          <t>HU0009</t>
        </is>
      </c>
      <c r="C10" s="23" t="inlineStr">
        <is>
          <t>Configurar los parametros una sola vez</t>
        </is>
      </c>
      <c r="D10" t="inlineStr">
        <is>
          <t>Cliente Traductor</t>
        </is>
      </c>
      <c r="E10">
        <f>C10</f>
        <v/>
      </c>
      <c r="F10">
        <f>'Mapa de Impacto'!C6</f>
        <v/>
      </c>
      <c r="G10" s="57" t="n">
        <v>9</v>
      </c>
      <c r="H10" s="57" t="inlineStr">
        <is>
          <t>S</t>
        </is>
      </c>
      <c r="I10" s="57">
        <f>VLOOKUP(H10,Planificacion!$A$4:$B$9,2,FALSE)</f>
        <v/>
      </c>
      <c r="J10" s="57" t="n">
        <v>2</v>
      </c>
      <c r="K10" s="58" t="inlineStr">
        <is>
          <t>Ahorra repetir la configuracion en cada mensaje.</t>
        </is>
      </c>
    </row>
    <row r="11" ht="16" customHeight="1">
      <c r="A11" s="34" t="n"/>
      <c r="B11" s="33" t="inlineStr">
        <is>
          <t>HU0010</t>
        </is>
      </c>
      <c r="C11" s="23" t="inlineStr">
        <is>
          <t>Mantener el hilo continuo</t>
        </is>
      </c>
      <c r="D11" t="inlineStr">
        <is>
          <t>Cliente Traductor</t>
        </is>
      </c>
      <c r="E11">
        <f>C11</f>
        <v/>
      </c>
      <c r="F11">
        <f>'Mapa de Impacto'!C6</f>
        <v/>
      </c>
      <c r="G11" s="57" t="n">
        <v>10</v>
      </c>
      <c r="H11" s="57" t="inlineStr">
        <is>
          <t>M</t>
        </is>
      </c>
      <c r="I11" s="57">
        <f>VLOOKUP(H11,Planificacion!$A$4:$B$9,2,FALSE)</f>
        <v/>
      </c>
      <c r="J11" s="57" t="n">
        <v>2</v>
      </c>
      <c r="K11" s="58" t="inlineStr">
        <is>
          <t>Hace posible un dialogo fluido, que es lo que busca el usuario.</t>
        </is>
      </c>
    </row>
    <row r="12" ht="16" customHeight="1">
      <c r="A12" s="34" t="n"/>
      <c r="B12" s="33" t="inlineStr">
        <is>
          <t>HU0011</t>
        </is>
      </c>
      <c r="C12" s="23" t="inlineStr">
        <is>
          <t>Consultar mi historial</t>
        </is>
      </c>
      <c r="D12" t="inlineStr">
        <is>
          <t>Cliente Traductor</t>
        </is>
      </c>
      <c r="E12">
        <f>C12</f>
        <v/>
      </c>
      <c r="F12">
        <f>'Mapa de Impacto'!C7</f>
        <v/>
      </c>
      <c r="G12" s="57" t="n">
        <v>14</v>
      </c>
      <c r="H12" s="57" t="inlineStr">
        <is>
          <t>M</t>
        </is>
      </c>
      <c r="I12" s="57">
        <f>VLOOKUP(H12,Planificacion!$A$4:$B$9,2,FALSE)</f>
        <v/>
      </c>
      <c r="J12" s="57" t="n">
        <v>2</v>
      </c>
      <c r="K12" s="58" t="inlineStr">
        <is>
          <t>Permite repasar y aprender de conversaciones pasadas.</t>
        </is>
      </c>
    </row>
    <row r="13" ht="16" customHeight="1">
      <c r="A13" s="34" t="n"/>
      <c r="B13" s="33" t="inlineStr">
        <is>
          <t>HU0012</t>
        </is>
      </c>
      <c r="C13" s="23" t="inlineStr">
        <is>
          <t>Abrir una conversacion anterior</t>
        </is>
      </c>
      <c r="D13" t="inlineStr">
        <is>
          <t>Cliente Traductor</t>
        </is>
      </c>
      <c r="E13">
        <f>C13</f>
        <v/>
      </c>
      <c r="F13">
        <f>'Mapa de Impacto'!C7</f>
        <v/>
      </c>
      <c r="G13" s="57" t="n">
        <v>15</v>
      </c>
      <c r="H13" s="57" t="inlineStr">
        <is>
          <t>S</t>
        </is>
      </c>
      <c r="I13" s="57">
        <f>VLOOKUP(H13,Planificacion!$A$4:$B$9,2,FALSE)</f>
        <v/>
      </c>
      <c r="J13" s="57" t="n">
        <v>2</v>
      </c>
      <c r="K13" s="58" t="inlineStr">
        <is>
          <t>Permite retomar una conversacion donde se dejo.</t>
        </is>
      </c>
    </row>
    <row r="14" ht="16" customHeight="1">
      <c r="A14" s="34" t="n"/>
      <c r="B14" s="33" t="inlineStr">
        <is>
          <t>HU0013</t>
        </is>
      </c>
      <c r="C14" s="23" t="inlineStr">
        <is>
          <t>Renombrar una conversacion</t>
        </is>
      </c>
      <c r="D14" t="inlineStr">
        <is>
          <t>Cliente Traductor</t>
        </is>
      </c>
      <c r="E14">
        <f>C14</f>
        <v/>
      </c>
      <c r="F14">
        <f>'Mapa de Impacto'!C7</f>
        <v/>
      </c>
      <c r="G14" s="57" t="n">
        <v>19</v>
      </c>
      <c r="H14" s="57" t="inlineStr">
        <is>
          <t>XS</t>
        </is>
      </c>
      <c r="I14" s="57">
        <f>VLOOKUP(H14,Planificacion!$A$4:$B$9,2,FALSE)</f>
        <v/>
      </c>
      <c r="J14" s="57" t="n">
        <v>2</v>
      </c>
      <c r="K14" s="58" t="inlineStr">
        <is>
          <t>Ayuda a ubicar conversaciones, pero no cambia el valor central.</t>
        </is>
      </c>
    </row>
    <row r="15" ht="16" customHeight="1">
      <c r="A15" s="35" t="n"/>
      <c r="B15" s="33" t="inlineStr">
        <is>
          <t>HU0014</t>
        </is>
      </c>
      <c r="C15" s="23" t="inlineStr">
        <is>
          <t>Eliminar una conversacion</t>
        </is>
      </c>
      <c r="D15" t="inlineStr">
        <is>
          <t>Cliente Traductor</t>
        </is>
      </c>
      <c r="E15">
        <f>C15</f>
        <v/>
      </c>
      <c r="F15">
        <f>'Mapa de Impacto'!C7</f>
        <v/>
      </c>
      <c r="G15" s="57" t="n">
        <v>20</v>
      </c>
      <c r="H15" s="57" t="inlineStr">
        <is>
          <t>S</t>
        </is>
      </c>
      <c r="I15" s="57">
        <f>VLOOKUP(H15,Planificacion!$A$4:$B$9,2,FALSE)</f>
        <v/>
      </c>
      <c r="J15" s="57" t="n">
        <v>3</v>
      </c>
      <c r="K15" s="58" t="inlineStr">
        <is>
          <t>Da control sobre los datos propios; es de apoyo.</t>
        </is>
      </c>
    </row>
    <row r="16" ht="16" customHeight="1">
      <c r="A16" s="33" t="inlineStr">
        <is>
          <t>Cuenta de usuario</t>
        </is>
      </c>
      <c r="B16" s="33" t="inlineStr">
        <is>
          <t>HU0015</t>
        </is>
      </c>
      <c r="C16" s="23" t="inlineStr">
        <is>
          <t>Registrarme en la aplicacion</t>
        </is>
      </c>
      <c r="D16" t="inlineStr">
        <is>
          <t>Cliente Traductor</t>
        </is>
      </c>
      <c r="E16">
        <f>C16</f>
        <v/>
      </c>
      <c r="F16">
        <f>'Mapa de Impacto'!C8</f>
        <v/>
      </c>
      <c r="G16" s="57" t="n">
        <v>16</v>
      </c>
      <c r="H16" s="57" t="inlineStr">
        <is>
          <t>L</t>
        </is>
      </c>
      <c r="I16" s="57">
        <f>VLOOKUP(H16,Planificacion!$A$4:$B$9,2,FALSE)</f>
        <v/>
      </c>
      <c r="J16" s="57" t="n">
        <v>3</v>
      </c>
      <c r="K16" s="58" t="inlineStr">
        <is>
          <t>Guarda las conversaciones del usuario y protege sus datos; el valor central no depende de esto.</t>
        </is>
      </c>
    </row>
    <row r="17" ht="16" customHeight="1">
      <c r="A17" s="34" t="n"/>
      <c r="B17" s="33" t="inlineStr">
        <is>
          <t>HU0016</t>
        </is>
      </c>
      <c r="C17" s="23" t="inlineStr">
        <is>
          <t>Iniciar sesion</t>
        </is>
      </c>
      <c r="D17" t="inlineStr">
        <is>
          <t>Cliente Traductor</t>
        </is>
      </c>
      <c r="E17">
        <f>C17</f>
        <v/>
      </c>
      <c r="F17">
        <f>'Mapa de Impacto'!C8</f>
        <v/>
      </c>
      <c r="G17" s="57" t="n">
        <v>17</v>
      </c>
      <c r="H17" s="57" t="inlineStr">
        <is>
          <t>M</t>
        </is>
      </c>
      <c r="I17" s="57">
        <f>VLOOKUP(H17,Planificacion!$A$4:$B$9,2,FALSE)</f>
        <v/>
      </c>
      <c r="J17" s="57" t="n">
        <v>3</v>
      </c>
      <c r="K17" s="58" t="inlineStr">
        <is>
          <t>Da acceso seguro a lo guardado.</t>
        </is>
      </c>
    </row>
    <row r="18" ht="16" customHeight="1">
      <c r="A18" s="34" t="n"/>
      <c r="B18" s="33" t="inlineStr">
        <is>
          <t>HU0017</t>
        </is>
      </c>
      <c r="C18" s="23" t="inlineStr">
        <is>
          <t>Recuperar mi contrasena</t>
        </is>
      </c>
      <c r="D18" t="inlineStr">
        <is>
          <t>Cliente Traductor</t>
        </is>
      </c>
      <c r="E18">
        <f>C18</f>
        <v/>
      </c>
      <c r="F18">
        <f>'Mapa de Impacto'!C8</f>
        <v/>
      </c>
      <c r="G18" s="57" t="n">
        <v>21</v>
      </c>
      <c r="H18" s="57" t="inlineStr">
        <is>
          <t>L</t>
        </is>
      </c>
      <c r="I18" s="57">
        <f>VLOOKUP(H18,Planificacion!$A$4:$B$9,2,FALSE)</f>
        <v/>
      </c>
      <c r="J18" s="57" t="n">
        <v>3</v>
      </c>
      <c r="K18" s="58" t="inlineStr">
        <is>
          <t>Evita perder la cuenta; es de apoyo.</t>
        </is>
      </c>
    </row>
    <row r="19" ht="16" customHeight="1">
      <c r="A19" s="35" t="n"/>
      <c r="B19" s="33" t="inlineStr">
        <is>
          <t>HU0018</t>
        </is>
      </c>
      <c r="C19" s="23" t="inlineStr">
        <is>
          <t>Cerrar sesion</t>
        </is>
      </c>
      <c r="D19" t="inlineStr">
        <is>
          <t>Cliente Traductor</t>
        </is>
      </c>
      <c r="E19">
        <f>C19</f>
        <v/>
      </c>
      <c r="F19">
        <f>'Mapa de Impacto'!C8</f>
        <v/>
      </c>
      <c r="G19" s="57" t="n">
        <v>22</v>
      </c>
      <c r="H19" s="57" t="inlineStr">
        <is>
          <t>XS</t>
        </is>
      </c>
      <c r="I19" s="57">
        <f>VLOOKUP(H19,Planificacion!$A$4:$B$9,2,FALSE)</f>
        <v/>
      </c>
      <c r="J19" s="57" t="n">
        <v>2</v>
      </c>
      <c r="K19" s="58" t="inlineStr">
        <is>
          <t>Protege la cuenta en un dispositivo compartido; es de apoyo.</t>
        </is>
      </c>
    </row>
    <row r="20" ht="16" customHeight="1">
      <c r="A20" s="33" t="inlineStr">
        <is>
          <t>Participacion del interlocutor</t>
        </is>
      </c>
      <c r="B20" s="33" t="inlineStr">
        <is>
          <t>HU0019</t>
        </is>
      </c>
      <c r="C20" s="23" t="inlineStr">
        <is>
          <t>Recibir el mensaje traducido</t>
        </is>
      </c>
      <c r="D20" t="inlineStr">
        <is>
          <t>Interlocutor</t>
        </is>
      </c>
      <c r="E20">
        <f>C20</f>
        <v/>
      </c>
      <c r="F20">
        <f>'Mapa de Impacto'!C11</f>
        <v/>
      </c>
      <c r="G20" s="57" t="n">
        <v>11</v>
      </c>
      <c r="H20" s="57" t="inlineStr">
        <is>
          <t>S</t>
        </is>
      </c>
      <c r="I20" s="57">
        <f>VLOOKUP(H20,Planificacion!$A$4:$B$9,2,FALSE)</f>
        <v/>
      </c>
      <c r="J20" s="57" t="n">
        <v>2</v>
      </c>
      <c r="K20" s="58" t="inlineStr">
        <is>
          <t>Hace que la otra persona participe sin instalar ni operar la app.</t>
        </is>
      </c>
    </row>
    <row r="21" ht="16" customHeight="1">
      <c r="A21" s="35" t="n"/>
      <c r="B21" s="33" t="inlineStr">
        <is>
          <t>HU0020</t>
        </is>
      </c>
      <c r="C21" s="23" t="inlineStr">
        <is>
          <t>Responder en mi idioma</t>
        </is>
      </c>
      <c r="D21" t="inlineStr">
        <is>
          <t>Interlocutor</t>
        </is>
      </c>
      <c r="E21">
        <f>C21</f>
        <v/>
      </c>
      <c r="F21">
        <f>'Mapa de Impacto'!C11</f>
        <v/>
      </c>
      <c r="G21" s="57" t="n">
        <v>12</v>
      </c>
      <c r="H21" s="57" t="inlineStr">
        <is>
          <t>M</t>
        </is>
      </c>
      <c r="I21" s="57">
        <f>VLOOKUP(H21,Planificacion!$A$4:$B$9,2,FALSE)</f>
        <v/>
      </c>
      <c r="J21" s="57" t="n">
        <v>2</v>
      </c>
      <c r="K21" s="58" t="inlineStr">
        <is>
          <t>Cierra el dialogo en ambos sentidos.</t>
        </is>
      </c>
    </row>
    <row r="22" ht="16" customHeight="1">
      <c r="A22" s="33" t="inlineStr">
        <is>
          <t>Reportes</t>
        </is>
      </c>
      <c r="B22" s="33" t="inlineStr">
        <is>
          <t>HU0021</t>
        </is>
      </c>
      <c r="C22" s="23" t="inlineStr">
        <is>
          <t>Reportar una mala traduccion</t>
        </is>
      </c>
      <c r="D22" t="inlineStr">
        <is>
          <t>Cliente Traductor</t>
        </is>
      </c>
      <c r="E22">
        <f>C22</f>
        <v/>
      </c>
      <c r="F22">
        <f>'Mapa de Impacto'!C10</f>
        <v/>
      </c>
      <c r="G22" s="57" t="n">
        <v>18</v>
      </c>
      <c r="H22" s="57" t="inlineStr">
        <is>
          <t>M</t>
        </is>
      </c>
      <c r="I22" s="57">
        <f>VLOOKUP(H22,Planificacion!$A$4:$B$9,2,FALSE)</f>
        <v/>
      </c>
      <c r="J22" s="57" t="n">
        <v>3</v>
      </c>
      <c r="K22" s="58" t="inlineStr">
        <is>
          <t>Alimenta la mejora de calidad con casos reales.</t>
        </is>
      </c>
    </row>
    <row r="23" ht="16" customHeight="1">
      <c r="A23" s="35" t="n"/>
      <c r="B23" s="33" t="inlineStr">
        <is>
          <t>HU0022</t>
        </is>
      </c>
      <c r="C23" s="23" t="inlineStr">
        <is>
          <t>Revisar los reportes de mala traduccion</t>
        </is>
      </c>
      <c r="D23" t="inlineStr">
        <is>
          <t>Administrador</t>
        </is>
      </c>
      <c r="E23">
        <f>C23</f>
        <v/>
      </c>
      <c r="F23">
        <f>'Mapa de Impacto'!C13</f>
        <v/>
      </c>
      <c r="G23" s="57" t="n">
        <v>23</v>
      </c>
      <c r="H23" s="57" t="inlineStr">
        <is>
          <t>M</t>
        </is>
      </c>
      <c r="I23" s="57">
        <f>VLOOKUP(H23,Planificacion!$A$4:$B$9,2,FALSE)</f>
        <v/>
      </c>
      <c r="J23" s="57" t="n">
        <v>3</v>
      </c>
      <c r="K23" s="58" t="inlineStr">
        <is>
          <t>Permite priorizar que mejorar primero.</t>
        </is>
      </c>
    </row>
    <row r="24">
      <c r="A24" s="33" t="inlineStr">
        <is>
          <t>Administracion de idiomas y regiones</t>
        </is>
      </c>
      <c r="B24" s="33" t="inlineStr">
        <is>
          <t>HU0023</t>
        </is>
      </c>
      <c r="C24" s="23" t="inlineStr">
        <is>
          <t>Consultar los idiomas disponibles</t>
        </is>
      </c>
      <c r="D24" t="inlineStr">
        <is>
          <t>Cliente Traductor</t>
        </is>
      </c>
      <c r="E24">
        <f>C24</f>
        <v/>
      </c>
      <c r="F24">
        <f>'Mapa de Impacto'!C5</f>
        <v/>
      </c>
      <c r="G24" s="57" t="n">
        <v>13</v>
      </c>
      <c r="H24" s="57" t="inlineStr">
        <is>
          <t>XS</t>
        </is>
      </c>
      <c r="I24" s="57">
        <f>VLOOKUP(H24,Planificacion!$A$4:$B$9,2,FALSE)</f>
        <v/>
      </c>
      <c r="J24" s="57" t="n">
        <v>2</v>
      </c>
      <c r="K24" s="58" t="inlineStr">
        <is>
          <t>Muestra con que idiomas se puede hablar antes de empezar.</t>
        </is>
      </c>
    </row>
    <row r="25">
      <c r="A25" s="34" t="n"/>
      <c r="B25" s="33" t="inlineStr">
        <is>
          <t>HU0024</t>
        </is>
      </c>
      <c r="C25" s="23" t="inlineStr">
        <is>
          <t>Agregar un idioma o una region</t>
        </is>
      </c>
      <c r="D25" t="inlineStr">
        <is>
          <t>Administrador</t>
        </is>
      </c>
      <c r="E25">
        <f>C25</f>
        <v/>
      </c>
      <c r="F25">
        <f>'Mapa de Impacto'!C12</f>
        <v/>
      </c>
      <c r="G25" s="57" t="n">
        <v>24</v>
      </c>
      <c r="H25" s="57" t="inlineStr">
        <is>
          <t>M</t>
        </is>
      </c>
      <c r="I25" s="57">
        <f>VLOOKUP(H25,Planificacion!$A$4:$B$9,2,FALSE)</f>
        <v/>
      </c>
      <c r="J25" s="57" t="n">
        <v>3</v>
      </c>
      <c r="K25" s="58" t="inlineStr">
        <is>
          <t>Hace crecer el servicio a mas personas.</t>
        </is>
      </c>
    </row>
    <row r="26">
      <c r="A26" s="35" t="n"/>
      <c r="B26" s="33" t="inlineStr">
        <is>
          <t>HU0025</t>
        </is>
      </c>
      <c r="C26" s="23" t="inlineStr">
        <is>
          <t>Activar o desactivar un idioma o una region</t>
        </is>
      </c>
      <c r="D26" t="inlineStr">
        <is>
          <t>Administrador</t>
        </is>
      </c>
      <c r="E26">
        <f>C26</f>
        <v/>
      </c>
      <c r="F26">
        <f>'Mapa de Impacto'!C12</f>
        <v/>
      </c>
      <c r="G26" s="57" t="n">
        <v>25</v>
      </c>
      <c r="H26" s="57" t="inlineStr">
        <is>
          <t>XS</t>
        </is>
      </c>
      <c r="I26" s="57">
        <f>VLOOKUP(H26,Planificacion!$A$4:$B$9,2,FALSE)</f>
        <v/>
      </c>
      <c r="J26" s="57" t="n">
        <v>2</v>
      </c>
      <c r="K26" s="58" t="inlineStr">
        <is>
          <t>Controla que idiomas se ofrecen con calidad suficiente.</t>
        </is>
      </c>
    </row>
  </sheetData>
  <mergeCells count="6">
    <mergeCell ref="A22:A23"/>
    <mergeCell ref="A2:A6"/>
    <mergeCell ref="A20:A21"/>
    <mergeCell ref="A7:A15"/>
    <mergeCell ref="A24:A26"/>
    <mergeCell ref="A16:A19"/>
  </mergeCells>
  <hyperlinks>
    <hyperlink ref="A2" location="'Traductor de mensajes'!A1" display="Traductor de mensajes"/>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2" customWidth="1" min="1" max="1"/>
    <col width="16" customWidth="1" min="2" max="2"/>
    <col width="18" customWidth="1" min="3" max="3"/>
    <col width="60" customWidth="1" min="4" max="4"/>
    <col width="28" customWidth="1" min="5" max="5"/>
  </cols>
  <sheetData>
    <row r="1">
      <c r="A1" s="59" t="inlineStr">
        <is>
          <t>Tallas y horas estimadas (una persona desarrolla)</t>
        </is>
      </c>
      <c r="D1" s="59" t="inlineStr">
        <is>
          <t>Capacidad de un sprint</t>
        </is>
      </c>
    </row>
    <row r="2"/>
    <row r="3">
      <c r="A3" s="60" t="inlineStr">
        <is>
          <t>Talla</t>
        </is>
      </c>
      <c r="B3" s="60" t="inlineStr">
        <is>
          <t>Horas</t>
        </is>
      </c>
      <c r="D3" s="61" t="inlineStr">
        <is>
          <t>Dias del sprint</t>
        </is>
      </c>
      <c r="E3" s="62" t="n">
        <v>5</v>
      </c>
    </row>
    <row r="4">
      <c r="A4" s="62" t="inlineStr">
        <is>
          <t>XS</t>
        </is>
      </c>
      <c r="B4" s="62" t="n">
        <v>1</v>
      </c>
      <c r="D4" s="61" t="inlineStr">
        <is>
          <t>Horas por dia y por persona</t>
        </is>
      </c>
      <c r="E4" s="62" t="n">
        <v>4</v>
      </c>
    </row>
    <row r="5">
      <c r="A5" s="62" t="inlineStr">
        <is>
          <t>S</t>
        </is>
      </c>
      <c r="B5" s="62" t="n">
        <v>2</v>
      </c>
      <c r="D5" s="61" t="inlineStr">
        <is>
          <t>Personas</t>
        </is>
      </c>
      <c r="E5" s="62" t="n">
        <v>2</v>
      </c>
    </row>
    <row r="6">
      <c r="A6" s="62" t="inlineStr">
        <is>
          <t>M</t>
        </is>
      </c>
      <c r="B6" s="62" t="n">
        <v>4</v>
      </c>
      <c r="D6" s="61" t="inlineStr">
        <is>
          <t>Horas brutas por sprint</t>
        </is>
      </c>
      <c r="E6" s="62">
        <f>E3*E4*E5</f>
        <v/>
      </c>
    </row>
    <row r="7">
      <c r="A7" s="62" t="inlineStr">
        <is>
          <t>L</t>
        </is>
      </c>
      <c r="B7" s="62" t="n">
        <v>6</v>
      </c>
      <c r="D7" s="61" t="inlineStr">
        <is>
          <t>Porcentaje usable (el resto es planeacion, dailies, refinamiento y retrospectiva)</t>
        </is>
      </c>
      <c r="E7" s="63" t="n">
        <v>0.75</v>
      </c>
    </row>
    <row r="8">
      <c r="A8" s="62" t="inlineStr">
        <is>
          <t>XL</t>
        </is>
      </c>
      <c r="B8" s="62" t="n">
        <v>8</v>
      </c>
      <c r="D8" s="61" t="inlineStr">
        <is>
          <t>Horas disponibles por sprint</t>
        </is>
      </c>
      <c r="E8" s="62">
        <f>E6*E7</f>
        <v/>
      </c>
    </row>
    <row r="9">
      <c r="A9" s="62" t="inlineStr">
        <is>
          <t>XXL</t>
        </is>
      </c>
      <c r="B9" s="62" t="n">
        <v>12</v>
      </c>
    </row>
    <row r="10"/>
    <row r="11"/>
    <row r="12">
      <c r="A12" s="59" t="inlineStr">
        <is>
          <t>Plan por sprint</t>
        </is>
      </c>
    </row>
    <row r="13">
      <c r="A13" s="60" t="inlineStr">
        <is>
          <t>Sprint</t>
        </is>
      </c>
      <c r="B13" s="60" t="inlineStr">
        <is>
          <t>Horas planeadas</t>
        </is>
      </c>
      <c r="C13" s="60" t="inlineStr">
        <is>
          <t>Horas disponibles</t>
        </is>
      </c>
      <c r="D13" s="60" t="inlineStr">
        <is>
          <t>Diferencia</t>
        </is>
      </c>
      <c r="E13" s="60" t="inlineStr">
        <is>
          <t>Historias</t>
        </is>
      </c>
    </row>
    <row r="14">
      <c r="A14" s="64" t="n">
        <v>1</v>
      </c>
      <c r="B14" s="64">
        <f>SUMIF(Entregables!$J$2:$J$40,A14,Entregables!$I$2:$I$40)</f>
        <v/>
      </c>
      <c r="C14" s="64">
        <f>$E$8</f>
        <v/>
      </c>
      <c r="D14" s="64">
        <f>C14-B14</f>
        <v/>
      </c>
      <c r="E14" s="65" t="inlineStr">
        <is>
          <t>HU0001, HU0002, HU0003, HU0004, HU0005, HU0006</t>
        </is>
      </c>
    </row>
    <row r="15">
      <c r="A15" s="64" t="n">
        <v>2</v>
      </c>
      <c r="B15" s="64">
        <f>SUMIF(Entregables!$J$2:$J$40,A15,Entregables!$I$2:$I$40)</f>
        <v/>
      </c>
      <c r="C15" s="64">
        <f>$E$8</f>
        <v/>
      </c>
      <c r="D15" s="64">
        <f>C15-B15</f>
        <v/>
      </c>
      <c r="E15" s="65" t="inlineStr">
        <is>
          <t>HU0007, HU0008, HU0009, HU0010, HU0011, HU0012, HU0013, HU0018, HU0019, HU0020, HU0023, HU0025</t>
        </is>
      </c>
    </row>
    <row r="16">
      <c r="A16" s="64" t="n">
        <v>3</v>
      </c>
      <c r="B16" s="64">
        <f>SUMIF(Entregables!$J$2:$J$40,A16,Entregables!$I$2:$I$40)</f>
        <v/>
      </c>
      <c r="C16" s="64">
        <f>$E$8</f>
        <v/>
      </c>
      <c r="D16" s="64">
        <f>C16-B16</f>
        <v/>
      </c>
      <c r="E16" s="65" t="inlineStr">
        <is>
          <t>HU0014, HU0015, HU0016, HU0017, HU0021, HU0022, HU0024</t>
        </is>
      </c>
    </row>
    <row r="17">
      <c r="A17" s="66" t="inlineStr">
        <is>
          <t>Total</t>
        </is>
      </c>
      <c r="B17" s="66">
        <f>SUM(B14:B16)</f>
        <v/>
      </c>
    </row>
    <row r="18"/>
    <row r="19">
      <c r="A19" s="66" t="inlineStr">
        <is>
          <t>Notas</t>
        </is>
      </c>
    </row>
    <row r="20">
      <c r="A20" t="inlineStr">
        <is>
          <t>La prioridad va por valor para el negocio (no por dependencia): lo que mas valor genera es traducir; registrarse y cerrar sesion son de apoyo.</t>
        </is>
      </c>
    </row>
    <row r="21">
      <c r="A21" t="inlineStr">
        <is>
          <t>Se llenan los sprints de mayor a menor valor hasta quedar cerca de las horas disponibles; si sobra espacio se acomoda una historia pequena de mas abajo.</t>
        </is>
      </c>
    </row>
    <row r="22">
      <c r="A22" t="inlineStr">
        <is>
          <t>Las horas por talla son una estimacion; se pueden ajustar y las formulas recalculan los sprints.</t>
        </is>
      </c>
    </row>
    <row r="23">
      <c r="A23" t="inlineStr">
        <is>
          <t>Metodologico: el plan de liberaciones se arma con estos sprints.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sheetData>
  <hyperlinks>
    <hyperlink ref="A5" location="'Mapa de Impacto'!A1"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Gestion de conversaciones</t>
        </is>
      </c>
    </row>
    <row r="2" ht="16" customHeight="1">
      <c r="A2" s="17" t="inlineStr">
        <is>
          <t>Actor</t>
        </is>
      </c>
      <c r="B2" s="18" t="inlineStr">
        <is>
          <t>Cliente Traductor</t>
        </is>
      </c>
    </row>
    <row r="3" ht="135" customHeight="1">
      <c r="A3" s="17" t="inlineStr">
        <is>
          <t>Impacto (para)</t>
        </is>
      </c>
      <c r="B3" s="18">
        <f>'Mapa de Impacto'!C5&amp;CHAR(10)&amp;'Mapa de Impacto'!C6&amp;CHAR(10)&amp;'Mapa de Impacto'!C7</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ht="45" customHeight="1">
      <c r="A14" s="18">
        <f>Entregables!C13</f>
        <v/>
      </c>
      <c r="B14" s="18">
        <f>Entregables!D13</f>
        <v/>
      </c>
      <c r="C14" s="18">
        <f>Entregables!E13</f>
        <v/>
      </c>
      <c r="D14" s="18">
        <f>Entregables!F13</f>
        <v/>
      </c>
    </row>
    <row r="15" ht="45" customHeight="1">
      <c r="A15" s="18">
        <f>Entregables!C14</f>
        <v/>
      </c>
      <c r="B15" s="18">
        <f>Entregables!D14</f>
        <v/>
      </c>
      <c r="C15" s="18">
        <f>Entregables!E14</f>
        <v/>
      </c>
      <c r="D15" s="18">
        <f>Entregables!F14</f>
        <v/>
      </c>
    </row>
    <row r="16" ht="45" customHeight="1">
      <c r="A16" s="18">
        <f>Entregables!C15</f>
        <v/>
      </c>
      <c r="B16" s="18">
        <f>Entregables!D15</f>
        <v/>
      </c>
      <c r="C16" s="18">
        <f>Entregables!E15</f>
        <v/>
      </c>
      <c r="D16" s="18">
        <f>Entregables!F15</f>
        <v/>
      </c>
    </row>
  </sheetData>
  <hyperlinks>
    <hyperlink ref="A5" location="'Mapa de Impacto'!A1"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Entregables!C16</f>
        <v/>
      </c>
      <c r="B8" s="18">
        <f>Entregables!D16</f>
        <v/>
      </c>
      <c r="C8" s="18">
        <f>Entregables!E16</f>
        <v/>
      </c>
      <c r="D8" s="18">
        <f>Entregables!F16</f>
        <v/>
      </c>
    </row>
    <row r="9" ht="45" customHeight="1">
      <c r="A9" s="18">
        <f>Entregables!C17</f>
        <v/>
      </c>
      <c r="B9" s="18">
        <f>Entregables!D17</f>
        <v/>
      </c>
      <c r="C9" s="18">
        <f>Entregables!E17</f>
        <v/>
      </c>
      <c r="D9" s="18">
        <f>Entregables!F17</f>
        <v/>
      </c>
    </row>
    <row r="10" ht="45" customHeight="1">
      <c r="A10" s="18">
        <f>Entregables!C18</f>
        <v/>
      </c>
      <c r="B10" s="18">
        <f>Entregables!D18</f>
        <v/>
      </c>
      <c r="C10" s="18">
        <f>Entregables!E18</f>
        <v/>
      </c>
      <c r="D10" s="18">
        <f>Entregables!F18</f>
        <v/>
      </c>
    </row>
    <row r="11" ht="45" customHeight="1">
      <c r="A11" s="18">
        <f>Entregables!C19</f>
        <v/>
      </c>
      <c r="B11" s="18">
        <f>Entregables!D19</f>
        <v/>
      </c>
      <c r="C11" s="18">
        <f>Entregables!E19</f>
        <v/>
      </c>
      <c r="D11" s="18">
        <f>Entregables!F19</f>
        <v/>
      </c>
    </row>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Entregables!C20</f>
        <v/>
      </c>
      <c r="B8" s="18">
        <f>Entregables!D20</f>
        <v/>
      </c>
      <c r="C8" s="18">
        <f>Entregables!E20</f>
        <v/>
      </c>
      <c r="D8" s="18">
        <f>Entregables!F20</f>
        <v/>
      </c>
    </row>
    <row r="9" ht="45" customHeight="1">
      <c r="A9" s="18">
        <f>Entregables!C21</f>
        <v/>
      </c>
      <c r="B9" s="18">
        <f>Entregables!D21</f>
        <v/>
      </c>
      <c r="C9" s="18">
        <f>Entregables!E21</f>
        <v/>
      </c>
      <c r="D9" s="18">
        <f>Entregables!F21</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Entregables!C22</f>
        <v/>
      </c>
      <c r="B8" s="18">
        <f>Entregables!D22</f>
        <v/>
      </c>
      <c r="C8" s="18">
        <f>Entregables!E22</f>
        <v/>
      </c>
      <c r="D8" s="18">
        <f>Entregables!F22</f>
        <v/>
      </c>
    </row>
    <row r="9" ht="45" customHeight="1">
      <c r="A9" s="18">
        <f>Entregables!C23</f>
        <v/>
      </c>
      <c r="B9" s="18">
        <f>Entregables!D23</f>
        <v/>
      </c>
      <c r="C9" s="18">
        <f>Entregables!E23</f>
        <v/>
      </c>
      <c r="D9" s="18">
        <f>Entregables!F23</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Cliente Traductor / Administrador</t>
        </is>
      </c>
    </row>
    <row r="3" ht="90" customHeight="1">
      <c r="A3" s="17" t="inlineStr">
        <is>
          <t>Impacto (para)</t>
        </is>
      </c>
      <c r="B3" s="18">
        <f>'Mapa de Impacto'!C5&amp;CHAR(10)&amp;'Mapa de Impacto'!C12</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Entregables!C24</f>
        <v/>
      </c>
      <c r="B8" s="18">
        <f>Entregables!D24</f>
        <v/>
      </c>
      <c r="C8" s="18">
        <f>Entregables!E24</f>
        <v/>
      </c>
      <c r="D8" s="18">
        <f>Entregables!F24</f>
        <v/>
      </c>
    </row>
    <row r="9" ht="45" customHeight="1">
      <c r="A9" s="18">
        <f>Entregables!C25</f>
        <v/>
      </c>
      <c r="B9" s="18">
        <f>Entregables!D25</f>
        <v/>
      </c>
      <c r="C9" s="18">
        <f>Entregables!E25</f>
        <v/>
      </c>
      <c r="D9" s="18">
        <f>Entregables!F25</f>
        <v/>
      </c>
    </row>
    <row r="10" ht="45" customHeight="1">
      <c r="A10" s="18">
        <f>Entregables!C26</f>
        <v/>
      </c>
      <c r="B10" s="18">
        <f>Entregables!D26</f>
        <v/>
      </c>
      <c r="C10" s="18">
        <f>Entregables!E26</f>
        <v/>
      </c>
      <c r="D10" s="18">
        <f>Entregables!F26</f>
        <v/>
      </c>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2026-10-14T16:59:58Z</dcterms:modified>
  <cp:lastModifiedBy>Julian David Diaz Medina</cp:lastModifiedBy>
</cp:coreProperties>
</file>