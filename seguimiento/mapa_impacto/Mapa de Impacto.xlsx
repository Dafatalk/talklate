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60" yWindow="940" windowWidth="35680" windowHeight="22280" tabRatio="600" firstSheet="0" activeTab="1" autoFilterDateGrouping="1"/>
  </bookViews>
  <sheets>
    <sheet name="Mapa de Impacto" sheetId="1" state="visible" r:id="rId1"/>
    <sheet name="Entregables" sheetId="2" state="visible" r:id="rId2"/>
    <sheet name="Planificacion" sheetId="3" state="visible" r:id="rId3"/>
    <sheet name="Plan de liberaciones" sheetId="4" state="visible" r:id="rId4"/>
    <sheet name="Traduccion de mensajes" sheetId="5" state="visible" r:id="rId5"/>
    <sheet name="Gestion de conversaciones" sheetId="6" state="visible" r:id="rId6"/>
    <sheet name="Cuenta de usuario" sheetId="7" state="visible" r:id="rId7"/>
    <sheet name="Participacion interlocutor" sheetId="8" state="visible" r:id="rId8"/>
    <sheet name="Reportes" sheetId="9" state="visible" r:id="rId9"/>
    <sheet name="Admin idiomas y regiones" sheetId="10" state="visible" r:id="rId10"/>
  </sheets>
  <definedNames/>
  <calcPr calcId="191029" fullCalcOnLoad="1"/>
</workbook>
</file>

<file path=xl/styles.xml><?xml version="1.0" encoding="utf-8"?>
<styleSheet xmlns="http://schemas.openxmlformats.org/spreadsheetml/2006/main">
  <numFmts count="1">
    <numFmt numFmtId="164" formatCode="dd/mm/yyyy"/>
  </numFmts>
  <fonts count="14">
    <font>
      <name val="Calibri"/>
      <family val="2"/>
      <color theme="1"/>
      <sz val="11"/>
      <scheme val="minor"/>
    </font>
    <font>
      <name val="Calibri"/>
      <family val="2"/>
      <b val="1"/>
      <color rgb="FF000000"/>
      <sz val="11"/>
    </font>
    <font>
      <name val="Calibri"/>
      <family val="2"/>
      <b val="1"/>
      <sz val="11"/>
    </font>
    <font>
      <name val="Calibri"/>
      <family val="2"/>
      <sz val="10"/>
    </font>
    <font>
      <name val="Calibri"/>
      <family val="2"/>
      <b val="1"/>
      <color theme="1"/>
      <sz val="11"/>
    </font>
    <font>
      <name val="Calibri"/>
      <family val="2"/>
      <b val="1"/>
      <sz val="11"/>
    </font>
    <font>
      <name val="Calibri"/>
      <family val="2"/>
      <sz val="10"/>
    </font>
    <font>
      <name val="Calibri"/>
      <family val="2"/>
      <b val="1"/>
      <color rgb="FF0563C1"/>
      <sz val="11"/>
      <u val="single"/>
    </font>
    <font>
      <name val="Calibri"/>
      <family val="2"/>
      <color rgb="FF0563C1"/>
      <sz val="10"/>
      <u val="single"/>
    </font>
    <font>
      <name val="Calibri"/>
      <family val="2"/>
      <sz val="11"/>
    </font>
    <font>
      <name val="Calibri"/>
      <family val="2"/>
      <color rgb="FF0563C1"/>
      <sz val="11"/>
      <u val="single"/>
    </font>
    <font>
      <name val="Calibri"/>
      <family val="2"/>
      <b val="1"/>
      <color theme="1"/>
      <sz val="11"/>
      <scheme val="minor"/>
    </font>
    <font>
      <b val="1"/>
      <sz val="12"/>
    </font>
    <font>
      <b val="1"/>
    </font>
  </fonts>
  <fills count="10">
    <fill>
      <patternFill/>
    </fill>
    <fill>
      <patternFill patternType="gray125"/>
    </fill>
    <fill>
      <patternFill patternType="solid">
        <fgColor rgb="FFA9D08E"/>
        <bgColor rgb="FF000000"/>
      </patternFill>
    </fill>
    <fill>
      <patternFill patternType="solid">
        <fgColor rgb="FFE2EFDA"/>
      </patternFill>
    </fill>
    <fill>
      <patternFill patternType="solid">
        <fgColor rgb="FFFFF2CC"/>
      </patternFill>
    </fill>
    <fill>
      <patternFill patternType="solid">
        <fgColor rgb="FFFCE4D6"/>
      </patternFill>
    </fill>
    <fill>
      <patternFill patternType="solid">
        <fgColor rgb="FF92D050"/>
        <bgColor indexed="64"/>
      </patternFill>
    </fill>
    <fill>
      <patternFill patternType="solid">
        <fgColor rgb="FF92D050"/>
      </patternFill>
    </fill>
    <fill>
      <patternFill patternType="solid">
        <fgColor theme="8" tint="0.5999938962981048"/>
        <bgColor indexed="64"/>
      </patternFill>
    </fill>
    <fill>
      <patternFill patternType="solid">
        <fgColor rgb="0092D050"/>
      </patternFill>
    </fill>
  </fills>
  <borders count="29">
    <border>
      <left/>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diagonal/>
    </border>
    <border>
      <left style="medium">
        <color indexed="64"/>
      </left>
      <right style="thin">
        <color indexed="64"/>
      </right>
      <top/>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bottom/>
      <diagonal/>
    </border>
    <border>
      <left style="thin">
        <color rgb="FFBFBFBF"/>
      </left>
      <right style="thin">
        <color rgb="FFBFBFBF"/>
      </right>
      <top/>
      <bottom style="thin">
        <color rgb="FFBFBFBF"/>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bottom/>
      <diagonal/>
    </border>
    <border>
      <left style="medium">
        <color indexed="64"/>
      </left>
      <right/>
      <top/>
      <bottom/>
      <diagonal/>
    </border>
    <border>
      <left style="medium">
        <color indexed="64"/>
      </left>
      <right style="thin">
        <color indexed="64"/>
      </right>
      <top/>
      <bottom style="thin">
        <color indexed="64"/>
      </bottom>
      <diagonal/>
    </border>
    <border>
      <left/>
      <right/>
      <top style="medium">
        <color indexed="64"/>
      </top>
      <bottom/>
      <diagonal/>
    </border>
    <border>
      <left/>
      <right style="thin">
        <color indexed="64"/>
      </right>
      <top style="medium">
        <color indexed="64"/>
      </top>
      <bottom/>
      <diagonal/>
    </border>
    <border>
      <left style="thin">
        <color rgb="FFBFBFBF"/>
      </left>
      <right/>
      <top/>
      <bottom/>
      <diagonal/>
    </border>
    <border>
      <left style="thin">
        <color rgb="00999999"/>
      </left>
      <right style="thin">
        <color rgb="00999999"/>
      </right>
      <top style="thin">
        <color rgb="00999999"/>
      </top>
      <bottom style="thin">
        <color rgb="00999999"/>
      </bottom>
    </border>
  </borders>
  <cellStyleXfs count="1">
    <xf numFmtId="0" fontId="0" fillId="0" borderId="0"/>
  </cellStyleXfs>
  <cellXfs count="77">
    <xf numFmtId="0" fontId="0" fillId="0" borderId="0" pivotButton="0" quotePrefix="0" xfId="0"/>
    <xf numFmtId="0" fontId="1" fillId="2" borderId="1" applyAlignment="1" pivotButton="0" quotePrefix="0" xfId="0">
      <alignment horizontal="center" vertical="center" wrapText="1"/>
    </xf>
    <xf numFmtId="0" fontId="1" fillId="2" borderId="2" applyAlignment="1" pivotButton="0" quotePrefix="0" xfId="0">
      <alignment horizontal="center" vertical="center" wrapText="1"/>
    </xf>
    <xf numFmtId="0" fontId="1" fillId="2" borderId="4" applyAlignment="1" pivotButton="0" quotePrefix="0" xfId="0">
      <alignment horizontal="center" vertical="center" wrapText="1"/>
    </xf>
    <xf numFmtId="0" fontId="1" fillId="2" borderId="5" applyAlignment="1" pivotButton="0" quotePrefix="0" xfId="0">
      <alignment horizontal="center" vertical="center" wrapText="1"/>
    </xf>
    <xf numFmtId="0" fontId="1" fillId="2" borderId="8" applyAlignment="1" pivotButton="0" quotePrefix="0" xfId="0">
      <alignment horizontal="center" vertical="center" wrapText="1"/>
    </xf>
    <xf numFmtId="0" fontId="1" fillId="2" borderId="10" applyAlignment="1" pivotButton="0" quotePrefix="0" xfId="0">
      <alignment horizontal="center" vertical="center" wrapText="1"/>
    </xf>
    <xf numFmtId="0" fontId="3" fillId="3" borderId="5" applyAlignment="1" pivotButton="0" quotePrefix="0" xfId="0">
      <alignment vertical="top" wrapText="1"/>
    </xf>
    <xf numFmtId="0" fontId="3" fillId="4" borderId="5" applyAlignment="1" pivotButton="0" quotePrefix="0" xfId="0">
      <alignment vertical="top" wrapText="1"/>
    </xf>
    <xf numFmtId="0" fontId="3" fillId="5" borderId="10" applyAlignment="1" pivotButton="0" quotePrefix="0" xfId="0">
      <alignment vertical="top" wrapText="1"/>
    </xf>
    <xf numFmtId="0" fontId="2" fillId="4" borderId="5" applyAlignment="1" pivotButton="0" quotePrefix="0" xfId="0">
      <alignment horizontal="center" vertical="center" wrapText="1"/>
    </xf>
    <xf numFmtId="0" fontId="4" fillId="6" borderId="5" applyAlignment="1" pivotButton="0" quotePrefix="0" xfId="0">
      <alignment horizontal="center" vertical="center" wrapText="1"/>
    </xf>
    <xf numFmtId="0" fontId="3" fillId="0" borderId="5" applyAlignment="1" pivotButton="0" quotePrefix="0" xfId="0">
      <alignment vertical="top" wrapText="1"/>
    </xf>
    <xf numFmtId="0" fontId="3" fillId="0" borderId="5" applyAlignment="1" pivotButton="0" quotePrefix="0" xfId="0">
      <alignment horizontal="left" vertical="center" wrapText="1"/>
    </xf>
    <xf numFmtId="0" fontId="8" fillId="3" borderId="6" applyAlignment="1" pivotButton="0" quotePrefix="0" xfId="0">
      <alignment vertical="top" wrapText="1"/>
    </xf>
    <xf numFmtId="0" fontId="8" fillId="4" borderId="6" applyAlignment="1" pivotButton="0" quotePrefix="0" xfId="0">
      <alignment vertical="top" wrapText="1"/>
    </xf>
    <xf numFmtId="0" fontId="8" fillId="5" borderId="9" applyAlignment="1" pivotButton="0" quotePrefix="0" xfId="0">
      <alignment vertical="top" wrapText="1"/>
    </xf>
    <xf numFmtId="0" fontId="5" fillId="7" borderId="0" applyAlignment="1" pivotButton="0" quotePrefix="0" xfId="0">
      <alignment horizontal="center" vertical="center" wrapText="1"/>
    </xf>
    <xf numFmtId="0" fontId="6" fillId="0" borderId="13" applyAlignment="1" pivotButton="0" quotePrefix="0" xfId="0">
      <alignment vertical="top" wrapText="1"/>
    </xf>
    <xf numFmtId="0" fontId="7" fillId="0" borderId="0" pivotButton="0" quotePrefix="0" xfId="0"/>
    <xf numFmtId="0" fontId="5" fillId="7" borderId="13" applyAlignment="1" pivotButton="0" quotePrefix="0" xfId="0">
      <alignment horizontal="center" vertical="center" wrapText="1"/>
    </xf>
    <xf numFmtId="0" fontId="5" fillId="7" borderId="5" applyAlignment="1" pivotButton="0" quotePrefix="0" xfId="0">
      <alignment horizontal="center" vertical="center"/>
    </xf>
    <xf numFmtId="0" fontId="10" fillId="0" borderId="13" applyAlignment="1" pivotButton="0" quotePrefix="0" xfId="0">
      <alignment vertical="top" wrapText="1"/>
    </xf>
    <xf numFmtId="0" fontId="9" fillId="0" borderId="13" applyAlignment="1" pivotButton="0" quotePrefix="0" xfId="0">
      <alignment vertical="top" wrapText="1"/>
    </xf>
    <xf numFmtId="0" fontId="2" fillId="5" borderId="10" applyAlignment="1" pivotButton="0" quotePrefix="0" xfId="0">
      <alignment horizontal="center" vertical="center" wrapText="1"/>
    </xf>
    <xf numFmtId="0" fontId="0" fillId="0" borderId="14" pivotButton="0" quotePrefix="0" xfId="0"/>
    <xf numFmtId="0" fontId="0" fillId="0" borderId="15" pivotButton="0" quotePrefix="0" xfId="0"/>
    <xf numFmtId="0" fontId="1" fillId="2" borderId="16" applyAlignment="1" pivotButton="0" quotePrefix="0" xfId="0">
      <alignment horizontal="center" vertical="center" wrapText="1"/>
    </xf>
    <xf numFmtId="0" fontId="1" fillId="2" borderId="17" applyAlignment="1" pivotButton="0" quotePrefix="0" xfId="0">
      <alignment horizontal="center" vertical="center" wrapText="1"/>
    </xf>
    <xf numFmtId="0" fontId="1" fillId="2" borderId="18" applyAlignment="1" pivotButton="0" quotePrefix="0" xfId="0">
      <alignment horizontal="center" vertical="center" wrapText="1"/>
    </xf>
    <xf numFmtId="0" fontId="3" fillId="3" borderId="2" applyAlignment="1" pivotButton="0" quotePrefix="0" xfId="0">
      <alignment vertical="top" wrapText="1"/>
    </xf>
    <xf numFmtId="0" fontId="8" fillId="3" borderId="3" applyAlignment="1" pivotButton="0" quotePrefix="0" xfId="0">
      <alignment vertical="top" wrapText="1"/>
    </xf>
    <xf numFmtId="0" fontId="0" fillId="0" borderId="19" applyAlignment="1" pivotButton="0" quotePrefix="0" xfId="0">
      <alignment vertical="center" wrapText="1"/>
    </xf>
    <xf numFmtId="0" fontId="10" fillId="0" borderId="13" applyAlignment="1" pivotButton="0" quotePrefix="0" xfId="0">
      <alignment vertical="top" wrapText="1"/>
    </xf>
    <xf numFmtId="0" fontId="0" fillId="0" borderId="14" pivotButton="0" quotePrefix="0" xfId="0"/>
    <xf numFmtId="0" fontId="0" fillId="0" borderId="15" pivotButton="0" quotePrefix="0" xfId="0"/>
    <xf numFmtId="0" fontId="2" fillId="3" borderId="2" applyAlignment="1" pivotButton="0" quotePrefix="0" xfId="0">
      <alignment horizontal="center" vertical="center" wrapText="1"/>
    </xf>
    <xf numFmtId="0" fontId="0" fillId="0" borderId="11" pivotButton="0" quotePrefix="0" xfId="0"/>
    <xf numFmtId="0" fontId="0" fillId="0" borderId="7" pivotButton="0" quotePrefix="0" xfId="0"/>
    <xf numFmtId="0" fontId="3" fillId="0" borderId="1" applyAlignment="1" pivotButton="0" quotePrefix="0" xfId="0">
      <alignment horizontal="left" vertical="center" wrapText="1"/>
    </xf>
    <xf numFmtId="0" fontId="0" fillId="0" borderId="12" pivotButton="0" quotePrefix="0" xfId="0"/>
    <xf numFmtId="0" fontId="11" fillId="8" borderId="5" applyAlignment="1" pivotButton="0" quotePrefix="0" xfId="0">
      <alignment horizontal="center" vertical="center"/>
    </xf>
    <xf numFmtId="0" fontId="3" fillId="0" borderId="5" applyAlignment="1" pivotButton="0" quotePrefix="0" xfId="0">
      <alignment horizontal="left" vertical="center" wrapText="1"/>
    </xf>
    <xf numFmtId="0" fontId="3" fillId="3" borderId="16" applyAlignment="1" pivotButton="0" quotePrefix="0" xfId="0">
      <alignment vertical="top" wrapText="1"/>
    </xf>
    <xf numFmtId="0" fontId="3" fillId="3" borderId="17" applyAlignment="1" pivotButton="0" quotePrefix="0" xfId="0">
      <alignment vertical="top" wrapText="1"/>
    </xf>
    <xf numFmtId="0" fontId="3" fillId="4" borderId="17" applyAlignment="1" pivotButton="0" quotePrefix="0" xfId="0">
      <alignment vertical="top" wrapText="1"/>
    </xf>
    <xf numFmtId="0" fontId="3" fillId="5" borderId="18" applyAlignment="1" pivotButton="0" quotePrefix="0" xfId="0">
      <alignment vertical="top" wrapText="1"/>
    </xf>
    <xf numFmtId="0" fontId="1" fillId="2" borderId="16" applyAlignment="1" pivotButton="0" quotePrefix="0" xfId="0">
      <alignment horizontal="center" vertical="center" wrapText="1"/>
    </xf>
    <xf numFmtId="0" fontId="1" fillId="2" borderId="20" applyAlignment="1" pivotButton="0" quotePrefix="0" xfId="0">
      <alignment horizontal="center" vertical="center" wrapText="1"/>
    </xf>
    <xf numFmtId="0" fontId="1" fillId="2" borderId="21" applyAlignment="1" pivotButton="0" quotePrefix="0" xfId="0">
      <alignment horizontal="center" vertical="center" wrapText="1"/>
    </xf>
    <xf numFmtId="0" fontId="2" fillId="7" borderId="5" applyAlignment="1" pivotButton="0" quotePrefix="0" xfId="0">
      <alignment horizontal="center" vertical="center"/>
    </xf>
    <xf numFmtId="0" fontId="0" fillId="0" borderId="20" pivotButton="0" quotePrefix="0" xfId="0"/>
    <xf numFmtId="0" fontId="0" fillId="0" borderId="21" pivotButton="0" quotePrefix="0" xfId="0"/>
    <xf numFmtId="0" fontId="6" fillId="3" borderId="16" applyAlignment="1" pivotButton="0" quotePrefix="0" xfId="0">
      <alignment vertical="top" wrapText="1"/>
    </xf>
    <xf numFmtId="0" fontId="0" fillId="0" borderId="24" pivotButton="0" quotePrefix="0" xfId="0"/>
    <xf numFmtId="0" fontId="5" fillId="5" borderId="10" applyAlignment="1" pivotButton="0" quotePrefix="0" xfId="0">
      <alignment horizontal="center" vertical="center" wrapText="1"/>
    </xf>
    <xf numFmtId="0" fontId="6" fillId="5" borderId="10" applyAlignment="1" pivotButton="0" quotePrefix="0" xfId="0">
      <alignment vertical="top" wrapText="1"/>
    </xf>
    <xf numFmtId="0" fontId="0" fillId="0" borderId="0" applyAlignment="1" pivotButton="0" quotePrefix="0" xfId="0">
      <alignment horizontal="center" vertical="center" wrapText="1"/>
    </xf>
    <xf numFmtId="0" fontId="0" fillId="0" borderId="0" applyAlignment="1" pivotButton="0" quotePrefix="0" xfId="0">
      <alignment vertical="center" wrapText="1"/>
    </xf>
    <xf numFmtId="0" fontId="12" fillId="0" borderId="0" pivotButton="0" quotePrefix="0" xfId="0"/>
    <xf numFmtId="0" fontId="13" fillId="9" borderId="28" applyAlignment="1" pivotButton="0" quotePrefix="0" xfId="0">
      <alignment horizontal="center" wrapText="1"/>
    </xf>
    <xf numFmtId="0" fontId="0" fillId="0" borderId="28" pivotButton="0" quotePrefix="0" xfId="0"/>
    <xf numFmtId="0" fontId="0" fillId="0" borderId="28" applyAlignment="1" pivotButton="0" quotePrefix="0" xfId="0">
      <alignment horizontal="center"/>
    </xf>
    <xf numFmtId="9" fontId="0" fillId="0" borderId="28" applyAlignment="1" pivotButton="0" quotePrefix="0" xfId="0">
      <alignment horizontal="center"/>
    </xf>
    <xf numFmtId="0" fontId="0" fillId="0" borderId="28" applyAlignment="1" pivotButton="0" quotePrefix="0" xfId="0">
      <alignment horizontal="center" vertical="top" wrapText="1"/>
    </xf>
    <xf numFmtId="0" fontId="0" fillId="0" borderId="28" applyAlignment="1" pivotButton="0" quotePrefix="0" xfId="0">
      <alignment horizontal="left" vertical="top" wrapText="1"/>
    </xf>
    <xf numFmtId="0" fontId="13" fillId="0" borderId="0" pivotButton="0" quotePrefix="0" xfId="0"/>
    <xf numFmtId="0" fontId="10" fillId="0" borderId="13" applyAlignment="1" pivotButton="0" quotePrefix="0" xfId="0">
      <alignment vertical="center" wrapText="1"/>
    </xf>
    <xf numFmtId="0" fontId="9" fillId="0" borderId="13" applyAlignment="1" pivotButton="0" quotePrefix="0" xfId="0">
      <alignment vertical="center" wrapText="1"/>
    </xf>
    <xf numFmtId="0" fontId="0" fillId="0" borderId="0" applyAlignment="1" pivotButton="0" quotePrefix="0" xfId="0">
      <alignment vertical="top" wrapText="1"/>
    </xf>
    <xf numFmtId="0" fontId="0" fillId="0" borderId="14" applyAlignment="1" pivotButton="0" quotePrefix="0" xfId="0">
      <alignment vertical="center" wrapText="1"/>
    </xf>
    <xf numFmtId="0" fontId="0" fillId="0" borderId="15" applyAlignment="1" pivotButton="0" quotePrefix="0" xfId="0">
      <alignment vertical="center" wrapText="1"/>
    </xf>
    <xf numFmtId="0" fontId="13" fillId="9" borderId="28" applyAlignment="1" pivotButton="0" quotePrefix="0" xfId="0">
      <alignment horizontal="center"/>
    </xf>
    <xf numFmtId="164" fontId="0" fillId="0" borderId="28" applyAlignment="1" pivotButton="0" quotePrefix="0" xfId="0">
      <alignment horizontal="center"/>
    </xf>
    <xf numFmtId="164" fontId="0" fillId="0" borderId="28" applyAlignment="1" pivotButton="0" quotePrefix="0" xfId="0">
      <alignment horizontal="center" vertical="top" wrapText="1"/>
    </xf>
    <xf numFmtId="164" fontId="0" fillId="0" borderId="28" applyAlignment="1" pivotButton="0" quotePrefix="0" xfId="0">
      <alignment horizontal="center"/>
    </xf>
    <xf numFmtId="164" fontId="0" fillId="0" borderId="28" applyAlignment="1" pivotButton="0" quotePrefix="0" xfId="0">
      <alignment horizontal="center"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3"/>
  <sheetViews>
    <sheetView topLeftCell="B1" zoomScale="150" zoomScaleNormal="150" workbookViewId="0">
      <pane ySplit="3" topLeftCell="A4" activePane="bottomLeft" state="frozen"/>
      <selection pane="bottomLeft" activeCell="F11" activeCellId="1" sqref="H18 F11"/>
    </sheetView>
  </sheetViews>
  <sheetFormatPr baseColWidth="10" defaultColWidth="8.83203125" defaultRowHeight="15"/>
  <cols>
    <col width="45.1640625" customWidth="1" min="1" max="1"/>
    <col width="16" customWidth="1" min="2" max="2"/>
    <col width="62" customWidth="1" min="3" max="3"/>
    <col width="49.33203125" customWidth="1" min="4" max="4"/>
    <col width="48.33203125" customWidth="1" min="5" max="5"/>
    <col width="34" customWidth="1" min="6" max="6"/>
    <col width="22" customWidth="1" min="7" max="7"/>
    <col width="60" customWidth="1" min="8" max="8"/>
  </cols>
  <sheetData>
    <row r="1" ht="16" customHeight="1">
      <c r="A1" s="1" t="inlineStr">
        <is>
          <t>Why?</t>
        </is>
      </c>
      <c r="B1" s="2" t="inlineStr">
        <is>
          <t>Who?</t>
        </is>
      </c>
      <c r="C1" s="2" t="inlineStr">
        <is>
          <t>How?</t>
        </is>
      </c>
      <c r="D1" s="51" t="n"/>
      <c r="E1" s="52" t="n"/>
      <c r="F1" s="47" t="inlineStr">
        <is>
          <t>What?</t>
        </is>
      </c>
      <c r="G1" s="41" t="inlineStr">
        <is>
          <t>DUDAS</t>
        </is>
      </c>
      <c r="H1" s="41" t="inlineStr">
        <is>
          <t>Indicador SMART (como se mide y para cuando)</t>
        </is>
      </c>
    </row>
    <row r="2" ht="16" customHeight="1">
      <c r="A2" s="3" t="inlineStr">
        <is>
          <t>¿Por qué?</t>
        </is>
      </c>
      <c r="B2" s="4" t="inlineStr">
        <is>
          <t>¿Quién?</t>
        </is>
      </c>
      <c r="C2" s="4" t="inlineStr">
        <is>
          <t>¿Cómo?</t>
        </is>
      </c>
      <c r="D2" s="28" t="inlineStr">
        <is>
          <t>Problema</t>
        </is>
      </c>
      <c r="E2" s="28" t="inlineStr">
        <is>
          <t>Beneficio</t>
        </is>
      </c>
      <c r="F2" s="28" t="inlineStr">
        <is>
          <t>¿Qué?</t>
        </is>
      </c>
      <c r="G2" s="37" t="n"/>
      <c r="H2" s="37" t="n"/>
    </row>
    <row r="3" ht="17" customHeight="1" thickBot="1">
      <c r="A3" s="5" t="inlineStr">
        <is>
          <t>Objetivo</t>
        </is>
      </c>
      <c r="B3" s="6" t="inlineStr">
        <is>
          <t>Actores</t>
        </is>
      </c>
      <c r="C3" s="6" t="inlineStr">
        <is>
          <t>Impacto</t>
        </is>
      </c>
      <c r="D3" s="29" t="n"/>
      <c r="E3" s="29" t="n"/>
      <c r="F3" s="29" t="inlineStr">
        <is>
          <t>Entregable</t>
        </is>
      </c>
      <c r="G3" s="38" t="n"/>
      <c r="H3" s="38" t="n"/>
    </row>
    <row r="4" ht="78" customHeight="1">
      <c r="A4" s="39" t="inlineStr">
        <is>
          <t>Objetivo (SMART): al cierre de la liberacion 3 (06/11/2026), al menos 10 personas de prueba sostienen cada una una conversacion de 10 mensajes o mas con alguien que habla otro idioma (espanol-ingles), con menos del 20 % de traducciones reportadas como malas y un tiempo por traduccion de 3 segundos o menos (p95). Vision: ver contexto.md.</t>
        </is>
      </c>
      <c r="B4" s="36" t="inlineStr">
        <is>
          <t>Cliente Traductor</t>
        </is>
      </c>
      <c r="C4" s="30" t="inlineStr">
        <is>
          <t>Interactuar facil y rapidamente con personas que hablan otro idioma, traduciendo cada mensaje en tiempo real y conservando el contexto cultural, el tono y los modismos.</t>
        </is>
      </c>
      <c r="D4" s="43" t="inlineStr">
        <is>
          <t>Si no se traduce un mensaje en tiempo real no se puede sostener una converación con otra persona cuando no se conoce el idioma destino</t>
        </is>
      </c>
      <c r="E4" s="43" t="inlineStr">
        <is>
          <t>Tener una converación fluida con una persona que habla otro idioma</t>
        </is>
      </c>
      <c r="F4" s="31" t="inlineStr">
        <is>
          <t>Traduccion de mensajes</t>
        </is>
      </c>
      <c r="G4" s="32" t="n"/>
      <c r="H4" s="43" t="inlineStr">
        <is>
          <t>Liberacion 1 (23/10/2026): el 80 % de los modismos del glosario de prueba se traducen con su equivalente cultural y en 3 segundos o menos (p95). Se mide con npm run medir.</t>
        </is>
      </c>
    </row>
    <row r="5" ht="78" customHeight="1">
      <c r="A5" s="40" t="n"/>
      <c r="B5" s="37" t="n"/>
      <c r="C5" s="7" t="inlineStr">
        <is>
          <t>Empezar a conversar en menos de un minuto, configurando idioma y region destino una sola vez y sin tener que indicar el idioma propio.</t>
        </is>
      </c>
      <c r="D5" s="53" t="inlineStr">
        <is>
          <t>Si el usuario tiene que configurar todo y decir su idioma antes de hablar, pierde tiempo y la conversacion no arranca de inmediato.</t>
        </is>
      </c>
      <c r="E5" s="53" t="inlineStr">
        <is>
          <t>Empezar a hablar de una vez.</t>
        </is>
      </c>
      <c r="F5" s="14" t="inlineStr">
        <is>
          <t>Gestion de conversaciones / Administracion de idiomas y regiones</t>
        </is>
      </c>
      <c r="G5" s="32" t="n"/>
      <c r="H5" s="53" t="inlineStr">
        <is>
          <t>Liberaciones 1 y 2: en la prueba con usuarios, una persona nueva crea la conversacion y envia su primer mensaje en menos de 1 minuto; el idioma de origen se reconoce bien en el 90 % de los primeros mensajes.</t>
        </is>
      </c>
    </row>
    <row r="6" ht="78" customHeight="1">
      <c r="A6" s="40" t="n"/>
      <c r="B6" s="37" t="n"/>
      <c r="C6" s="7" t="inlineStr">
        <is>
          <t>Mantener el contexto de toda la charla, de modo que cada respuesta se traduzca dentro del mismo hilo sin reconfigurar nada.</t>
        </is>
      </c>
      <c r="D6" s="53" t="inlineStr">
        <is>
          <t>Si la conversacion no guarda la configuracion ni el hilo, cada mensaje queda suelto y se pierde el contexto de lo que se ha dicho.</t>
        </is>
      </c>
      <c r="E6" s="53" t="inlineStr">
        <is>
          <t>Conversar de corrido, con todo el hilo en un solo lugar.</t>
        </is>
      </c>
      <c r="F6" s="14" t="inlineStr">
        <is>
          <t>Gestion de conversaciones</t>
        </is>
      </c>
      <c r="G6" s="32" t="n"/>
      <c r="H6" s="53" t="inlineStr">
        <is>
          <t>Liberacion 2 (30/10/2026): en la prueba con usuarios hay conversaciones de 10 mensajes o mas sin reconfigurar idiomas.</t>
        </is>
      </c>
    </row>
    <row r="7" ht="78" customHeight="1">
      <c r="A7" s="40" t="n"/>
      <c r="B7" s="37" t="n"/>
      <c r="C7" s="7" t="inlineStr">
        <is>
          <t>Aprender y ganar confianza en el otro idioma apoyándose en conversaciones pasadas.</t>
        </is>
      </c>
      <c r="D7" s="53" t="inlineStr">
        <is>
          <t>Si las conversaciones no se guardan, al cerrar la app se pierde lo que se dijo y el usuario no puede repasar las frases ni aprender de ellas.</t>
        </is>
      </c>
      <c r="E7" s="53" t="inlineStr">
        <is>
          <t>Volver a conversaciones pasadas para repasar y ganar confianza en el otro idioma.</t>
        </is>
      </c>
      <c r="F7" s="14" t="inlineStr">
        <is>
          <t>Gestion de conversaciones</t>
        </is>
      </c>
      <c r="G7" s="32" t="n"/>
      <c r="H7" s="53" t="inlineStr">
        <is>
          <t>Liberacion 2: el 100 % de las conversaciones quedan en el historial y se pueden reabrir; en la encuesta final, 7 de cada 10 personas dicen que repasarlas les ayudo.</t>
        </is>
      </c>
    </row>
    <row r="8" ht="78" customHeight="1">
      <c r="A8" s="40" t="n"/>
      <c r="B8" s="37" t="n"/>
      <c r="C8" s="7" t="inlineStr">
        <is>
          <t>Tener las conversaciones y la configuracion guardadas en una cuenta segura que solo el usuario puede ver.</t>
        </is>
      </c>
      <c r="D8" s="53" t="inlineStr">
        <is>
          <t>Si no hay una cuenta, las conversaciones no quedan ligadas a nadie: cualquiera con el celular las podria ver y, si el usuario cambia de celular, las pierde.</t>
        </is>
      </c>
      <c r="E8" s="53" t="inlineStr">
        <is>
          <t>Tener las conversaciones guardadas y que sean solo del usuario.</t>
        </is>
      </c>
      <c r="F8" s="14" t="inlineStr">
        <is>
          <t>Cuenta de usuario</t>
        </is>
      </c>
      <c r="G8" s="32" t="n"/>
      <c r="H8" s="53" t="inlineStr">
        <is>
          <t>Liberacion 3 (06/11/2026): 0 accesos de una persona a conversaciones de otra en las pruebas de seguridad; la persona puede eliminar su cuenta con todos sus datos.</t>
        </is>
      </c>
    </row>
    <row r="9" ht="78" customHeight="1">
      <c r="A9" s="40" t="n"/>
      <c r="B9" s="37" t="n"/>
      <c r="C9" s="7" t="inlineStr">
        <is>
          <t>Sostener una conversación natural, hablando y escuchando como lo haría en su propio idioma.</t>
        </is>
      </c>
      <c r="D9" s="53" t="inlineStr">
        <is>
          <t>Si la traduccion solo sale en texto o con una voz que suena robotica, la otra persona no entiende bien lo que el usuario quiso decir y todo se siente forzado.</t>
        </is>
      </c>
      <c r="E9" s="53" t="inlineStr">
        <is>
          <t>Hablar y escuchar de forma natural, como en el propio idioma.</t>
        </is>
      </c>
      <c r="F9" s="14" t="inlineStr">
        <is>
          <t>Traduccion de mensajes</t>
        </is>
      </c>
      <c r="G9" s="32" t="n"/>
      <c r="H9" s="53" t="inlineStr">
        <is>
          <t>Liberacion 1: el 100 % de los mensajes enviados por voz se escuchan traducidos; 7 de cada 10 personas de prueba califican la voz como comprensible.</t>
        </is>
      </c>
    </row>
    <row r="10" ht="78" customHeight="1">
      <c r="A10" s="40" t="n"/>
      <c r="B10" s="38" t="n"/>
      <c r="C10" s="7" t="inlineStr">
        <is>
          <t>Contribuir a mejorar la calidad del servicio señalando las traducciones que no fueron correctas o naturales.</t>
        </is>
      </c>
      <c r="D10" s="53" t="inlineStr">
        <is>
          <t>Si el usuario no puede avisar cuando una traduccion sale mal, el error se queda y se repite, y termina desconfiando de la app.</t>
        </is>
      </c>
      <c r="E10" s="53" t="inlineStr">
        <is>
          <t>Ayudar a que las traducciones mejoren con el uso.</t>
        </is>
      </c>
      <c r="F10" s="14" t="inlineStr">
        <is>
          <t>Reportes</t>
        </is>
      </c>
      <c r="G10" s="32" t="n"/>
      <c r="H10" s="53" t="inlineStr">
        <is>
          <t>Liberacion 3: cualquier traduccion se reporta en 2 toques o menos y el reporte llega al administrador.</t>
        </is>
      </c>
    </row>
    <row r="11" ht="78" customHeight="1">
      <c r="A11" s="40" t="n"/>
      <c r="B11" s="10" t="inlineStr">
        <is>
          <t>Interlocutor</t>
        </is>
      </c>
      <c r="C11" s="8" t="inlineStr">
        <is>
          <t>Participar en la conversacion en su propio idioma y en igualdad de condiciones, sin instalar la aplicacion ni crear una cuenta.</t>
        </is>
      </c>
      <c r="D11" s="53" t="inlineStr">
        <is>
          <t>Si la otra persona tiene que instalar la app o crear una cuenta para contestar, la conversacion no arranca o ella queda en desventaja.</t>
        </is>
      </c>
      <c r="E11" s="53" t="inlineStr">
        <is>
          <t>Que la otra persona hable en su idioma con el celular del usuario, sin cuenta.</t>
        </is>
      </c>
      <c r="F11" s="15" t="inlineStr">
        <is>
          <t>Participacion del interlocutor</t>
        </is>
      </c>
      <c r="G11" s="32" t="n"/>
      <c r="H11" s="53" t="inlineStr">
        <is>
          <t>Liberacion 2: en la prueba con usuarios, la otra persona responde en su idioma con el celular del usuario, sin cuenta, en el 100 % de los casos.</t>
        </is>
      </c>
    </row>
    <row r="12" ht="78" customHeight="1" thickBot="1">
      <c r="A12" s="40" t="n"/>
      <c r="B12" s="24" t="inlineStr">
        <is>
          <t>Administrador</t>
        </is>
      </c>
      <c r="C12" s="9" t="inlineStr">
        <is>
          <t>Ampliar la oferta de idiomas y regiones con calidad confiable, activando solo los que ya traducen bien.</t>
        </is>
      </c>
      <c r="D12" s="53" t="inlineStr">
        <is>
          <t>Si no se pueden agregar ni ajustar idiomas y regiones, la app se queda con lo que trajo al inicio y no le sirve a mas gente.</t>
        </is>
      </c>
      <c r="E12" s="53" t="inlineStr">
        <is>
          <t>Poder crecer a mas idiomas y regiones.</t>
        </is>
      </c>
      <c r="F12" s="16" t="inlineStr">
        <is>
          <t>Administracion de idiomas y regiones</t>
        </is>
      </c>
      <c r="G12" s="32" t="n"/>
      <c r="H12" s="53" t="inlineStr">
        <is>
          <t>Liberacion 3: un idioma o region se agrega y activa sin cambiar codigo; solo se activan idiomas que pasan el glosario de prueba con 80 % o mas.</t>
        </is>
      </c>
    </row>
    <row r="13" ht="78" customHeight="1">
      <c r="A13" s="54" t="n"/>
      <c r="B13" s="55" t="inlineStr">
        <is>
          <t>Administrador</t>
        </is>
      </c>
      <c r="C13" s="56" t="inlineStr">
        <is>
          <t>Decidir que mejoras priorizar en el servicio a partir de los reportes de mala traduccion que envian los clientes.</t>
        </is>
      </c>
      <c r="D13" s="53" t="inlineStr">
        <is>
          <t>Si nadie revisa los reportes de mala traduccion, los errores no se corrigen y no se sabe que mejorar primero.</t>
        </is>
      </c>
      <c r="E13" s="53" t="inlineStr">
        <is>
          <t>Mejorar primero lo que mas afecta a los usuarios.</t>
        </is>
      </c>
      <c r="F13" s="16" t="inlineStr">
        <is>
          <t>Reportes</t>
        </is>
      </c>
      <c r="G13" s="32" t="n"/>
      <c r="H13" s="53" t="inlineStr">
        <is>
          <t>Liberacion 3: el 100 % de los reportes abiertos se revisan (revisado o descartado) en menos de una semana.</t>
        </is>
      </c>
    </row>
    <row r="14" ht="19" customHeight="1"/>
    <row r="17" ht="16" customHeight="1"/>
    <row r="18" ht="144" customHeight="1"/>
    <row r="19" ht="128" customHeight="1"/>
    <row r="20" ht="128" customHeight="1"/>
    <row r="21" ht="80" customHeight="1"/>
    <row r="22" ht="112" customHeight="1"/>
    <row r="23" ht="176" customHeight="1"/>
    <row r="24" ht="128" customHeight="1"/>
    <row r="25" ht="80" customHeight="1"/>
    <row r="26" ht="144" customHeight="1"/>
    <row r="27" ht="128" customHeight="1"/>
  </sheetData>
  <mergeCells count="5">
    <mergeCell ref="C1:E1"/>
    <mergeCell ref="G1:G3"/>
    <mergeCell ref="H1:H3"/>
    <mergeCell ref="A4:A13"/>
    <mergeCell ref="B4:B10"/>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27"/>
  <sheetViews>
    <sheetView showGridLines="0" tabSelected="1" zoomScale="200" zoomScaleNormal="200" workbookViewId="0">
      <pane xSplit="2" ySplit="1" topLeftCell="C2" activePane="bottomRight" state="frozen"/>
      <selection pane="topRight" activeCell="A1" sqref="A1"/>
      <selection pane="bottomLeft" activeCell="A1" sqref="A1"/>
      <selection pane="bottomRight" activeCell="C2" sqref="C2"/>
    </sheetView>
  </sheetViews>
  <sheetFormatPr baseColWidth="10" defaultRowHeight="15"/>
  <cols>
    <col width="40" bestFit="1" customWidth="1" min="1" max="1"/>
    <col width="40" customWidth="1" min="2" max="2"/>
    <col width="46" bestFit="1" customWidth="1" min="3" max="3"/>
    <col width="14.33203125" bestFit="1" customWidth="1" min="4" max="4"/>
    <col width="22.1640625" bestFit="1" customWidth="1" min="5" max="5"/>
    <col width="162.1640625" bestFit="1" customWidth="1" min="6" max="6"/>
    <col width="14" customWidth="1" min="7" max="7"/>
    <col width="9" customWidth="1" min="8" max="8"/>
    <col width="9" customWidth="1" min="9" max="9"/>
    <col width="9" customWidth="1" min="10" max="10"/>
    <col width="70" customWidth="1" min="11" max="11"/>
    <col width="95" customWidth="1" min="12" max="12"/>
  </cols>
  <sheetData>
    <row r="1">
      <c r="A1" s="21" t="inlineStr">
        <is>
          <t>Entregable</t>
        </is>
      </c>
      <c r="B1" s="50" t="inlineStr">
        <is>
          <t>IDENTIFICADOR HISTORIA USUARIO</t>
        </is>
      </c>
      <c r="C1" s="50" t="inlineStr">
        <is>
          <t>HISTORIA DE USUARIO</t>
        </is>
      </c>
      <c r="D1" t="inlineStr">
        <is>
          <t>Como</t>
        </is>
      </c>
      <c r="E1" t="inlineStr">
        <is>
          <t>Necesito poder</t>
        </is>
      </c>
      <c r="F1" t="inlineStr">
        <is>
          <t>Para</t>
        </is>
      </c>
      <c r="G1" t="inlineStr">
        <is>
          <t>Prioridad (valor)</t>
        </is>
      </c>
      <c r="H1" t="inlineStr">
        <is>
          <t>Talla</t>
        </is>
      </c>
      <c r="I1" t="inlineStr">
        <is>
          <t>Horas</t>
        </is>
      </c>
      <c r="J1" t="inlineStr">
        <is>
          <t>Sprint</t>
        </is>
      </c>
      <c r="K1" t="inlineStr">
        <is>
          <t>Por que genera valor</t>
        </is>
      </c>
      <c r="L1" t="inlineStr">
        <is>
          <t>Criterios de aceptacion</t>
        </is>
      </c>
    </row>
    <row r="2" ht="64" customHeight="1">
      <c r="A2" s="67" t="inlineStr">
        <is>
          <t>Traduccion de mensajes</t>
        </is>
      </c>
      <c r="B2" s="67" t="inlineStr">
        <is>
          <t>HU0001</t>
        </is>
      </c>
      <c r="C2" s="68" t="inlineStr">
        <is>
          <t>Ingresar mi mensaje hablando</t>
        </is>
      </c>
      <c r="D2" s="58" t="inlineStr">
        <is>
          <t>Cliente Traductor</t>
        </is>
      </c>
      <c r="E2" s="58">
        <f>C2</f>
        <v/>
      </c>
      <c r="F2" s="58">
        <f>'Mapa de Impacto'!C4</f>
        <v/>
      </c>
      <c r="G2" s="57" t="n">
        <v>3</v>
      </c>
      <c r="H2" s="57" t="inlineStr">
        <is>
          <t>L</t>
        </is>
      </c>
      <c r="I2" s="57">
        <f>VLOOKUP(H2,Planificacion!$A$4:$B$9,2,FALSE)</f>
        <v/>
      </c>
      <c r="J2" s="57" t="n">
        <v>1</v>
      </c>
      <c r="K2" s="58" t="inlineStr">
        <is>
          <t>Es la forma natural de usar el producto: hablar y ser entendido sin escribir.</t>
        </is>
      </c>
      <c r="L2" s="69" t="inlineStr">
        <is>
          <t>1. Dado que estoy en una conversacion en modo voz, cuando dicto mi mensaje (microfono del navegador o del teclado), entonces el texto aparece y se envia por el canal de voz.
2. Cuando el microfono no esta permitido o el dispositivo no puede dictar, entonces veo un aviso claro y puedo escribir el mensaje.</t>
        </is>
      </c>
    </row>
    <row r="3" ht="60" customHeight="1">
      <c r="A3" s="34" t="n"/>
      <c r="B3" s="67" t="inlineStr">
        <is>
          <t>HU0002</t>
        </is>
      </c>
      <c r="C3" s="68" t="inlineStr">
        <is>
          <t>Ingresar mi mensaje escribiendo</t>
        </is>
      </c>
      <c r="D3" s="58" t="inlineStr">
        <is>
          <t>Cliente Traductor</t>
        </is>
      </c>
      <c r="E3" s="58">
        <f>C3</f>
        <v/>
      </c>
      <c r="F3" s="58">
        <f>'Mapa de Impacto'!C4</f>
        <v/>
      </c>
      <c r="G3" s="57" t="n">
        <v>2</v>
      </c>
      <c r="H3" s="57" t="inlineStr">
        <is>
          <t>S</t>
        </is>
      </c>
      <c r="I3" s="57">
        <f>VLOOKUP(H3,Planificacion!$A$4:$B$9,2,FALSE)</f>
        <v/>
      </c>
      <c r="J3" s="57" t="n">
        <v>1</v>
      </c>
      <c r="K3" s="58" t="inlineStr">
        <is>
          <t>Es la entrada mas simple y la que permite usar la traduccion desde el primer dia.</t>
        </is>
      </c>
      <c r="L3" s="69" t="inlineStr">
        <is>
          <t>1. Dado que estoy en una conversacion, cuando escribo un mensaje y lo envio, entonces aparecen mi mensaje original y su traduccion.
2. No se puede enviar un mensaje vacio ni de mas de 5000 caracteres.</t>
        </is>
      </c>
    </row>
    <row r="4" ht="112" customHeight="1">
      <c r="A4" s="34" t="n"/>
      <c r="B4" s="67" t="inlineStr">
        <is>
          <t>HU0003</t>
        </is>
      </c>
      <c r="C4" s="68" t="inlineStr">
        <is>
          <t>Traducir mi mensaje al idioma destino en tiempo real</t>
        </is>
      </c>
      <c r="D4" s="58" t="inlineStr">
        <is>
          <t>Cliente Traductor</t>
        </is>
      </c>
      <c r="E4" s="58">
        <f>C4</f>
        <v/>
      </c>
      <c r="F4" s="58">
        <f>'Mapa de Impacto'!C4</f>
        <v/>
      </c>
      <c r="G4" s="57" t="n">
        <v>1</v>
      </c>
      <c r="H4" s="57" t="inlineStr">
        <is>
          <t>XXL</t>
        </is>
      </c>
      <c r="I4" s="57">
        <f>VLOOKUP(H4,Planificacion!$A$4:$B$9,2,FALSE)</f>
        <v/>
      </c>
      <c r="J4" s="57" t="n">
        <v>1</v>
      </c>
      <c r="K4" s="58" t="inlineStr">
        <is>
          <t>Es el corazon del producto: sin esto TalkLate no entrega su valor diferencial.</t>
        </is>
      </c>
      <c r="L4" s="69" t="inlineStr">
        <is>
          <t>1. Dado un mensaje con un modismo (ej. 'Hay que ponerse las pilas con el trabajo'), cuando lo envio, entonces la traduccion usa el equivalente cultural en la region destino ('We need to get cracking on the work') y no una version literal.
2. Cuando se adapto un modismo, entonces puedo ver una nota cultural que lo explica; si quedaron palabras sin traducir, la traduccion se marca como aproximada.
3. Cuando el servicio no puede traducir, entonces veo un mensaje de error en vez de un resultado vacio.</t>
        </is>
      </c>
    </row>
    <row r="5" ht="64" customHeight="1">
      <c r="A5" s="34" t="n"/>
      <c r="B5" s="67" t="inlineStr">
        <is>
          <t>HU0004</t>
        </is>
      </c>
      <c r="C5" s="68" t="inlineStr">
        <is>
          <t>Escuchar el mensaje traducido</t>
        </is>
      </c>
      <c r="D5" s="58" t="inlineStr">
        <is>
          <t>Cliente Traductor</t>
        </is>
      </c>
      <c r="E5" s="58">
        <f>C5</f>
        <v/>
      </c>
      <c r="F5" s="58">
        <f>'Mapa de Impacto'!C9</f>
        <v/>
      </c>
      <c r="G5" s="57" t="n">
        <v>4</v>
      </c>
      <c r="H5" s="57" t="inlineStr">
        <is>
          <t>M</t>
        </is>
      </c>
      <c r="I5" s="57">
        <f>VLOOKUP(H5,Planificacion!$A$4:$B$9,2,FALSE)</f>
        <v/>
      </c>
      <c r="J5" s="57" t="n">
        <v>1</v>
      </c>
      <c r="K5" s="58" t="inlineStr">
        <is>
          <t>Permite que la otra persona reciba el mensaje de forma comoda y natural.</t>
        </is>
      </c>
      <c r="L5" s="69" t="inlineStr">
        <is>
          <t>1. Dado un mensaje traducido, cuando toco 'Escuchar', entonces se reproduce con la voz del idioma y pais destino.
2. La velocidad y el tono de la voz cambian segun la entonacion detectada (por ejemplo, alegre o preocupado).</t>
        </is>
      </c>
    </row>
    <row r="6" ht="60" customHeight="1">
      <c r="A6" s="35" t="n"/>
      <c r="B6" s="67" t="inlineStr">
        <is>
          <t>HU0005</t>
        </is>
      </c>
      <c r="C6" s="68" t="inlineStr">
        <is>
          <t>Recibir la traduccion por el mismo canal que use</t>
        </is>
      </c>
      <c r="D6" s="58" t="inlineStr">
        <is>
          <t>Cliente Traductor</t>
        </is>
      </c>
      <c r="E6" s="58">
        <f>C6</f>
        <v/>
      </c>
      <c r="F6" s="58">
        <f>'Mapa de Impacto'!C9</f>
        <v/>
      </c>
      <c r="G6" s="57" t="n">
        <v>5</v>
      </c>
      <c r="H6" s="57" t="inlineStr">
        <is>
          <t>S</t>
        </is>
      </c>
      <c r="I6" s="57">
        <f>VLOOKUP(H6,Planificacion!$A$4:$B$9,2,FALSE)</f>
        <v/>
      </c>
      <c r="J6" s="57" t="n">
        <v>1</v>
      </c>
      <c r="K6" s="58" t="inlineStr">
        <is>
          <t>Mantiene la experiencia coherente: si hablo, escucho; si escribo, leo.</t>
        </is>
      </c>
      <c r="L6" s="69" t="inlineStr">
        <is>
          <t>1. Dado que envie el mensaje por voz, entonces la traduccion se reproduce sola y tambien queda escrita.
2. Dado que envie el mensaje por texto, entonces la traduccion solo se muestra escrita.</t>
        </is>
      </c>
    </row>
    <row r="7" ht="60" customHeight="1">
      <c r="A7" s="67" t="inlineStr">
        <is>
          <t>Gestion de conversaciones</t>
        </is>
      </c>
      <c r="B7" s="67" t="inlineStr">
        <is>
          <t>HU0006</t>
        </is>
      </c>
      <c r="C7" s="68" t="inlineStr">
        <is>
          <t>Seleccionar el idioma y la region destino</t>
        </is>
      </c>
      <c r="D7" s="58" t="inlineStr">
        <is>
          <t>Cliente Traductor</t>
        </is>
      </c>
      <c r="E7" s="58">
        <f>C7</f>
        <v/>
      </c>
      <c r="F7" s="58">
        <f>'Mapa de Impacto'!C5</f>
        <v/>
      </c>
      <c r="G7" s="57" t="n">
        <v>6</v>
      </c>
      <c r="H7" s="57" t="inlineStr">
        <is>
          <t>M</t>
        </is>
      </c>
      <c r="I7" s="57">
        <f>VLOOKUP(H7,Planificacion!$A$4:$B$9,2,FALSE)</f>
        <v/>
      </c>
      <c r="J7" s="57" t="n">
        <v>1</v>
      </c>
      <c r="K7" s="58" t="inlineStr">
        <is>
          <t>Define a que persona y lugar se adapta el mensaje: de ahi sale el matiz cultural.</t>
        </is>
      </c>
      <c r="L7" s="69" t="inlineStr">
        <is>
          <t>1. Dado que creo una conversacion, cuando elijo un idioma de destino, entonces solo veo las regiones validas para ese idioma.
2. No puedo empezar la conversacion si falta el idioma o la region destino.</t>
        </is>
      </c>
    </row>
    <row r="8" ht="80" customHeight="1">
      <c r="A8" s="34" t="n"/>
      <c r="B8" s="67" t="inlineStr">
        <is>
          <t>HU0007</t>
        </is>
      </c>
      <c r="C8" s="68" t="inlineStr">
        <is>
          <t>Reconocer el idioma origen</t>
        </is>
      </c>
      <c r="D8" s="58" t="inlineStr">
        <is>
          <t>Cliente Traductor</t>
        </is>
      </c>
      <c r="E8" s="58">
        <f>C8</f>
        <v/>
      </c>
      <c r="F8" s="58">
        <f>'Mapa de Impacto'!C5</f>
        <v/>
      </c>
      <c r="G8" s="57" t="n">
        <v>7</v>
      </c>
      <c r="H8" s="57" t="inlineStr">
        <is>
          <t>L</t>
        </is>
      </c>
      <c r="I8" s="57">
        <f>VLOOKUP(H8,Planificacion!$A$4:$B$9,2,FALSE)</f>
        <v/>
      </c>
      <c r="J8" s="57" t="n">
        <v>2</v>
      </c>
      <c r="K8" s="58" t="inlineStr">
        <is>
          <t>Evita configurar a mano el idioma cada vez y acelera la conversacion.</t>
        </is>
      </c>
      <c r="L8" s="69" t="inlineStr">
        <is>
          <t>1. Dado que no elegi mi idioma, cuando envio mi primer mensaje, entonces el sistema lo reconoce y lo muestra en el encabezado de la conversacion.
2. Una vez reconocido, el idioma de origen no cambia en esa conversacion.
3. Cuando el mensaje es muy corto para reconocer el idioma, entonces se me pide escribir un poco mas.</t>
        </is>
      </c>
    </row>
    <row r="9" ht="60" customHeight="1">
      <c r="A9" s="34" t="n"/>
      <c r="B9" s="67" t="inlineStr">
        <is>
          <t>HU0008</t>
        </is>
      </c>
      <c r="C9" s="68" t="inlineStr">
        <is>
          <t>Crear una conversacion</t>
        </is>
      </c>
      <c r="D9" s="58" t="inlineStr">
        <is>
          <t>Cliente Traductor</t>
        </is>
      </c>
      <c r="E9" s="58">
        <f>C9</f>
        <v/>
      </c>
      <c r="F9" s="58">
        <f>'Mapa de Impacto'!C6</f>
        <v/>
      </c>
      <c r="G9" s="57" t="n">
        <v>8</v>
      </c>
      <c r="H9" s="57" t="inlineStr">
        <is>
          <t>S</t>
        </is>
      </c>
      <c r="I9" s="57">
        <f>VLOOKUP(H9,Planificacion!$A$4:$B$9,2,FALSE)</f>
        <v/>
      </c>
      <c r="J9" s="57" t="n">
        <v>2</v>
      </c>
      <c r="K9" s="58" t="inlineStr">
        <is>
          <t>Agrupa los mensajes de una misma charla para no perder el contexto.</t>
        </is>
      </c>
      <c r="L9" s="69" t="inlineStr">
        <is>
          <t>1. Cuando creo una conversacion sin nombre, entonces se llama 'Nueva Conversacion'.
2. La conversacion creada aparece en el menu lateral y en el historial.</t>
        </is>
      </c>
    </row>
    <row r="10" ht="60" customHeight="1">
      <c r="A10" s="34" t="n"/>
      <c r="B10" s="67" t="inlineStr">
        <is>
          <t>HU0009</t>
        </is>
      </c>
      <c r="C10" s="68" t="inlineStr">
        <is>
          <t>Configurar los parametros una sola vez</t>
        </is>
      </c>
      <c r="D10" s="58" t="inlineStr">
        <is>
          <t>Cliente Traductor</t>
        </is>
      </c>
      <c r="E10" s="58">
        <f>C10</f>
        <v/>
      </c>
      <c r="F10" s="58">
        <f>'Mapa de Impacto'!C6</f>
        <v/>
      </c>
      <c r="G10" s="57" t="n">
        <v>9</v>
      </c>
      <c r="H10" s="57" t="inlineStr">
        <is>
          <t>S</t>
        </is>
      </c>
      <c r="I10" s="57">
        <f>VLOOKUP(H10,Planificacion!$A$4:$B$9,2,FALSE)</f>
        <v/>
      </c>
      <c r="J10" s="57" t="n">
        <v>2</v>
      </c>
      <c r="K10" s="58" t="inlineStr">
        <is>
          <t>Ahorra repetir la configuracion en cada mensaje.</t>
        </is>
      </c>
      <c r="L10" s="69" t="inlineStr">
        <is>
          <t>1. Dado que ya elegi idioma y region destino al crear la conversacion, entonces los mensajes siguientes no me piden configurar nada.
2. El destino de la conversacion se mantiene mientras la uso.</t>
        </is>
      </c>
    </row>
    <row r="11" ht="60" customHeight="1">
      <c r="A11" s="34" t="n"/>
      <c r="B11" s="67" t="inlineStr">
        <is>
          <t>HU0010</t>
        </is>
      </c>
      <c r="C11" s="68" t="inlineStr">
        <is>
          <t>Mantener el hilo continuo</t>
        </is>
      </c>
      <c r="D11" s="58" t="inlineStr">
        <is>
          <t>Cliente Traductor</t>
        </is>
      </c>
      <c r="E11" s="58">
        <f>C11</f>
        <v/>
      </c>
      <c r="F11" s="58">
        <f>'Mapa de Impacto'!C6</f>
        <v/>
      </c>
      <c r="G11" s="57" t="n">
        <v>10</v>
      </c>
      <c r="H11" s="57" t="inlineStr">
        <is>
          <t>M</t>
        </is>
      </c>
      <c r="I11" s="57">
        <f>VLOOKUP(H11,Planificacion!$A$4:$B$9,2,FALSE)</f>
        <v/>
      </c>
      <c r="J11" s="57" t="n">
        <v>2</v>
      </c>
      <c r="K11" s="58" t="inlineStr">
        <is>
          <t>Hace posible un dialogo fluido, que es lo que busca el usuario.</t>
        </is>
      </c>
      <c r="L11" s="69" t="inlineStr">
        <is>
          <t>1. Cuando envio varios mensajes seguidos, entonces cada uno se traduce y queda en el mismo hilo, en orden.
2. Cuando reabro la conversacion mas tarde, entonces veo todos los mensajes anteriores.</t>
        </is>
      </c>
    </row>
    <row r="12" ht="64" customHeight="1">
      <c r="A12" s="34" t="n"/>
      <c r="B12" s="67" t="inlineStr">
        <is>
          <t>HU0011</t>
        </is>
      </c>
      <c r="C12" s="68" t="inlineStr">
        <is>
          <t>Consultar mi historial</t>
        </is>
      </c>
      <c r="D12" s="58" t="inlineStr">
        <is>
          <t>Cliente Traductor</t>
        </is>
      </c>
      <c r="E12" s="58">
        <f>C12</f>
        <v/>
      </c>
      <c r="F12" s="58">
        <f>'Mapa de Impacto'!C7</f>
        <v/>
      </c>
      <c r="G12" s="57" t="n">
        <v>14</v>
      </c>
      <c r="H12" s="57" t="inlineStr">
        <is>
          <t>M</t>
        </is>
      </c>
      <c r="I12" s="57">
        <f>VLOOKUP(H12,Planificacion!$A$4:$B$9,2,FALSE)</f>
        <v/>
      </c>
      <c r="J12" s="57" t="n">
        <v>2</v>
      </c>
      <c r="K12" s="58" t="inlineStr">
        <is>
          <t>Permite repasar y aprender de conversaciones pasadas.</t>
        </is>
      </c>
      <c r="L12" s="69" t="inlineStr">
        <is>
          <t>1. Cuando abro el historial, entonces veo mis conversaciones con su nombre, idiomas, numero de mensajes y ultimo mensaje, las mas recientes primero.
2. Puedo buscar una conversacion por su nombre.
3. Solo veo mis propias conversaciones.</t>
        </is>
      </c>
    </row>
    <row r="13" ht="60" customHeight="1">
      <c r="A13" s="34" t="n"/>
      <c r="B13" s="67" t="inlineStr">
        <is>
          <t>HU0012</t>
        </is>
      </c>
      <c r="C13" s="68" t="inlineStr">
        <is>
          <t>Abrir una conversacion anterior</t>
        </is>
      </c>
      <c r="D13" s="58" t="inlineStr">
        <is>
          <t>Cliente Traductor</t>
        </is>
      </c>
      <c r="E13" s="58">
        <f>C13</f>
        <v/>
      </c>
      <c r="F13" s="58">
        <f>'Mapa de Impacto'!C7</f>
        <v/>
      </c>
      <c r="G13" s="57" t="n">
        <v>15</v>
      </c>
      <c r="H13" s="57" t="inlineStr">
        <is>
          <t>S</t>
        </is>
      </c>
      <c r="I13" s="57">
        <f>VLOOKUP(H13,Planificacion!$A$4:$B$9,2,FALSE)</f>
        <v/>
      </c>
      <c r="J13" s="57" t="n">
        <v>2</v>
      </c>
      <c r="K13" s="58" t="inlineStr">
        <is>
          <t>Permite retomar una conversacion donde se dejo.</t>
        </is>
      </c>
      <c r="L13" s="69" t="inlineStr">
        <is>
          <t>1. Cuando toco una conversacion del historial, entonces veo sus mensajes originales y traducidos en orden.
2. No puedo abrir la conversacion de otra persona.</t>
        </is>
      </c>
    </row>
    <row r="14" ht="60" customHeight="1">
      <c r="A14" s="34" t="n"/>
      <c r="B14" s="67" t="inlineStr">
        <is>
          <t>HU0013</t>
        </is>
      </c>
      <c r="C14" s="68" t="inlineStr">
        <is>
          <t>Renombrar una conversacion</t>
        </is>
      </c>
      <c r="D14" s="58" t="inlineStr">
        <is>
          <t>Cliente Traductor</t>
        </is>
      </c>
      <c r="E14" s="58">
        <f>C14</f>
        <v/>
      </c>
      <c r="F14" s="58">
        <f>'Mapa de Impacto'!C7</f>
        <v/>
      </c>
      <c r="G14" s="57" t="n">
        <v>19</v>
      </c>
      <c r="H14" s="57" t="inlineStr">
        <is>
          <t>XS</t>
        </is>
      </c>
      <c r="I14" s="57">
        <f>VLOOKUP(H14,Planificacion!$A$4:$B$9,2,FALSE)</f>
        <v/>
      </c>
      <c r="J14" s="57" t="n">
        <v>2</v>
      </c>
      <c r="K14" s="58" t="inlineStr">
        <is>
          <t>Ayuda a ubicar conversaciones, pero no cambia el valor central.</t>
        </is>
      </c>
      <c r="L14" s="69" t="inlineStr">
        <is>
          <t>1. Cuando cambio el nombre, entonces debe tener entre 3 y 80 caracteres, sin caracteres especiales ni palabras ofensivas; si no, veo el motivo.
2. El nombre nuevo se ve en el encabezado, el menu y el historial.</t>
        </is>
      </c>
    </row>
    <row r="15" ht="60" customHeight="1">
      <c r="A15" s="35" t="n"/>
      <c r="B15" s="67" t="inlineStr">
        <is>
          <t>HU0014</t>
        </is>
      </c>
      <c r="C15" s="68" t="inlineStr">
        <is>
          <t>Eliminar una conversacion</t>
        </is>
      </c>
      <c r="D15" s="58" t="inlineStr">
        <is>
          <t>Cliente Traductor</t>
        </is>
      </c>
      <c r="E15" s="58">
        <f>C15</f>
        <v/>
      </c>
      <c r="F15" s="58">
        <f>'Mapa de Impacto'!C7</f>
        <v/>
      </c>
      <c r="G15" s="57" t="n">
        <v>20</v>
      </c>
      <c r="H15" s="57" t="inlineStr">
        <is>
          <t>XS</t>
        </is>
      </c>
      <c r="I15" s="57">
        <f>VLOOKUP(H15,Planificacion!$A$4:$B$9,2,FALSE)</f>
        <v/>
      </c>
      <c r="J15" s="57" t="n">
        <v>2</v>
      </c>
      <c r="K15" s="58" t="inlineStr">
        <is>
          <t>Da control sobre los datos propios; es de apoyo.</t>
        </is>
      </c>
      <c r="L15" s="69" t="inlineStr">
        <is>
          <t>1. Cuando elijo eliminar, entonces la app me pide confirmar y me avisa que no se puede deshacer.
2. Al confirmar, la conversacion se borra con sus mensajes y reportes.</t>
        </is>
      </c>
    </row>
    <row r="16" ht="112" customHeight="1">
      <c r="A16" s="67" t="inlineStr">
        <is>
          <t>Cuenta de usuario</t>
        </is>
      </c>
      <c r="B16" s="67" t="inlineStr">
        <is>
          <t>HU0015</t>
        </is>
      </c>
      <c r="C16" s="68" t="inlineStr">
        <is>
          <t>Registrarme en la aplicacion</t>
        </is>
      </c>
      <c r="D16" s="58" t="inlineStr">
        <is>
          <t>Cliente Traductor</t>
        </is>
      </c>
      <c r="E16" s="58">
        <f>C16</f>
        <v/>
      </c>
      <c r="F16" s="58">
        <f>'Mapa de Impacto'!C8</f>
        <v/>
      </c>
      <c r="G16" s="57" t="n">
        <v>16</v>
      </c>
      <c r="H16" s="57" t="inlineStr">
        <is>
          <t>L</t>
        </is>
      </c>
      <c r="I16" s="57">
        <f>VLOOKUP(H16,Planificacion!$A$4:$B$9,2,FALSE)</f>
        <v/>
      </c>
      <c r="J16" s="57" t="n">
        <v>3</v>
      </c>
      <c r="K16" s="58" t="inlineStr">
        <is>
          <t>Guarda las conversaciones del usuario y protege sus datos; el valor central no depende de esto.</t>
        </is>
      </c>
      <c r="L16" s="69" t="inlineStr">
        <is>
          <t>1. Cuando me registro con datos validos, entonces la cuenta se crea y entro a la app.
2. La contrasena debe tener 8 o mas caracteres, una mayuscula, un numero y un simbolo; el correo debe tener formato valido.
3. Debo tener 13 anos o mas; si no, veo 'debes tener al menos 13 anos'.
4. Si el correo ya esta registrado, veo un aviso para iniciar sesion.
5. Debo aceptar la politica de tratamiento de datos (Ley 1581 de 2012); si no, no se crea la cuenta.</t>
        </is>
      </c>
    </row>
    <row r="17" ht="64" customHeight="1">
      <c r="A17" s="34" t="n"/>
      <c r="B17" s="67" t="inlineStr">
        <is>
          <t>HU0016</t>
        </is>
      </c>
      <c r="C17" s="68" t="inlineStr">
        <is>
          <t>Iniciar sesion</t>
        </is>
      </c>
      <c r="D17" s="58" t="inlineStr">
        <is>
          <t>Cliente Traductor</t>
        </is>
      </c>
      <c r="E17" s="58">
        <f>C17</f>
        <v/>
      </c>
      <c r="F17" s="58">
        <f>'Mapa de Impacto'!C8</f>
        <v/>
      </c>
      <c r="G17" s="57" t="n">
        <v>17</v>
      </c>
      <c r="H17" s="57" t="inlineStr">
        <is>
          <t>M</t>
        </is>
      </c>
      <c r="I17" s="57">
        <f>VLOOKUP(H17,Planificacion!$A$4:$B$9,2,FALSE)</f>
        <v/>
      </c>
      <c r="J17" s="57" t="n">
        <v>3</v>
      </c>
      <c r="K17" s="58" t="inlineStr">
        <is>
          <t>Da acceso seguro a lo guardado.</t>
        </is>
      </c>
      <c r="L17" s="69" t="inlineStr">
        <is>
          <t>1. Con correo y contrasena correctos entro a la app; con datos incorrectos veo 'Usuario o contrasena incorrectos'.
2. Despues de varios intentos fallidos seguidos, el acceso se bloquea unos minutos.
3. Al cerrar y abrir la app sigo con la sesion iniciada.</t>
        </is>
      </c>
    </row>
    <row r="18" ht="96" customHeight="1">
      <c r="A18" s="34" t="n"/>
      <c r="B18" s="67" t="inlineStr">
        <is>
          <t>HU0017</t>
        </is>
      </c>
      <c r="C18" s="68" t="inlineStr">
        <is>
          <t>Recuperar mi contrasena</t>
        </is>
      </c>
      <c r="D18" s="58" t="inlineStr">
        <is>
          <t>Cliente Traductor</t>
        </is>
      </c>
      <c r="E18" s="58">
        <f>C18</f>
        <v/>
      </c>
      <c r="F18" s="58">
        <f>'Mapa de Impacto'!C8</f>
        <v/>
      </c>
      <c r="G18" s="57" t="n">
        <v>21</v>
      </c>
      <c r="H18" s="57" t="inlineStr">
        <is>
          <t>L</t>
        </is>
      </c>
      <c r="I18" s="57">
        <f>VLOOKUP(H18,Planificacion!$A$4:$B$9,2,FALSE)</f>
        <v/>
      </c>
      <c r="J18" s="57" t="n">
        <v>3</v>
      </c>
      <c r="K18" s="58" t="inlineStr">
        <is>
          <t>Evita perder la cuenta; es de apoyo.</t>
        </is>
      </c>
      <c r="L18" s="69" t="inlineStr">
        <is>
          <t>1. Cuando pido recuperar la contrasena con un correo registrado, entonces recibo un codigo de 6 digitos que vence en 15 minutos.
2. Con un codigo correcto y una contrasena nueva que cumpla las reglas, la contrasena cambia; el codigo solo sirve una vez.
3. Con un codigo incorrecto o vencido veo que debo pedir uno nuevo.
4. Si el correo no esta registrado, veo que no hay una cuenta asociada.</t>
        </is>
      </c>
    </row>
    <row r="19" ht="60" customHeight="1">
      <c r="A19" s="34" t="n"/>
      <c r="B19" s="67" t="inlineStr">
        <is>
          <t>HU0018</t>
        </is>
      </c>
      <c r="C19" s="68" t="inlineStr">
        <is>
          <t>Cerrar sesion</t>
        </is>
      </c>
      <c r="D19" s="58" t="inlineStr">
        <is>
          <t>Cliente Traductor</t>
        </is>
      </c>
      <c r="E19" s="58">
        <f>C19</f>
        <v/>
      </c>
      <c r="F19" s="58">
        <f>'Mapa de Impacto'!C8</f>
        <v/>
      </c>
      <c r="G19" s="57" t="n">
        <v>22</v>
      </c>
      <c r="H19" s="57" t="inlineStr">
        <is>
          <t>XS</t>
        </is>
      </c>
      <c r="I19" s="57">
        <f>VLOOKUP(H19,Planificacion!$A$4:$B$9,2,FALSE)</f>
        <v/>
      </c>
      <c r="J19" s="57" t="n">
        <v>3</v>
      </c>
      <c r="K19" s="58" t="inlineStr">
        <is>
          <t>Protege la cuenta en un dispositivo compartido; solo tiene sentido despues de iniciar sesion, por eso va con ella en el sprint 3.</t>
        </is>
      </c>
      <c r="L19" s="69" t="inlineStr">
        <is>
          <t>1. Cuando cierro sesion, entonces vuelvo a la pantalla de bienvenida.
2. El acceso anterior deja de funcionar aunque alguien lo conserve.</t>
        </is>
      </c>
    </row>
    <row r="20" ht="80" customHeight="1">
      <c r="A20" s="35" t="n"/>
      <c r="B20" s="67" t="inlineStr">
        <is>
          <t>HU0026</t>
        </is>
      </c>
      <c r="C20" s="68" t="inlineStr">
        <is>
          <t>Eliminar mi cuenta</t>
        </is>
      </c>
      <c r="D20" s="58" t="inlineStr">
        <is>
          <t>Cliente Traductor</t>
        </is>
      </c>
      <c r="E20" s="58">
        <f>C20</f>
        <v/>
      </c>
      <c r="F20" s="58">
        <f>'Mapa de Impacto'!C8</f>
        <v/>
      </c>
      <c r="G20" s="57" t="n">
        <v>26</v>
      </c>
      <c r="H20" s="57" t="inlineStr">
        <is>
          <t>XS</t>
        </is>
      </c>
      <c r="I20" s="57">
        <f>VLOOKUP(H20,Planificacion!$A$4:$B$9,2,FALSE)</f>
        <v/>
      </c>
      <c r="J20" s="57" t="n">
        <v>3</v>
      </c>
      <c r="K20" s="58" t="inlineStr">
        <is>
          <t>Cumple el derecho al olvido (Ley 1581 de 2012): la persona controla sus datos.</t>
        </is>
      </c>
      <c r="L20" s="69" t="inlineStr">
        <is>
          <t>1. Dado que estoy en mi perfil, cuando elijo eliminar mi cuenta, entonces la app me pide mi contrasena y me avisa que no se puede deshacer.
2. Al confirmar, se borran mi cuenta, mis conversaciones, mis mensajes y mis reportes, y vuelvo a la pantalla de bienvenida.
3. Con una contrasena incorrecta la cuenta no se elimina.</t>
        </is>
      </c>
    </row>
    <row r="21" ht="60" customHeight="1">
      <c r="A21" s="67" t="inlineStr">
        <is>
          <t>Participacion del interlocutor</t>
        </is>
      </c>
      <c r="B21" s="67" t="inlineStr">
        <is>
          <t>HU0019</t>
        </is>
      </c>
      <c r="C21" s="68" t="inlineStr">
        <is>
          <t>Recibir el mensaje traducido</t>
        </is>
      </c>
      <c r="D21" s="58" t="inlineStr">
        <is>
          <t>Interlocutor</t>
        </is>
      </c>
      <c r="E21" s="58">
        <f>C21</f>
        <v/>
      </c>
      <c r="F21" s="58">
        <f>'Mapa de Impacto'!C11</f>
        <v/>
      </c>
      <c r="G21" s="57" t="n">
        <v>11</v>
      </c>
      <c r="H21" s="57" t="inlineStr">
        <is>
          <t>S</t>
        </is>
      </c>
      <c r="I21" s="57">
        <f>VLOOKUP(H21,Planificacion!$A$4:$B$9,2,FALSE)</f>
        <v/>
      </c>
      <c r="J21" s="57" t="n">
        <v>2</v>
      </c>
      <c r="K21" s="58" t="inlineStr">
        <is>
          <t>Hace que la otra persona participe sin instalar ni operar la app.</t>
        </is>
      </c>
      <c r="L21" s="69" t="inlineStr">
        <is>
          <t>1. Dado que la otra persona responde (se elige 'Otra persona' y se le pasa el celular), entonces su mensaje se traduce a mi idioma y se muestra a la izquierda, junto a su original.
2. La otra persona no necesita instalar la app ni crear una cuenta.</t>
        </is>
      </c>
    </row>
    <row r="22" ht="60" customHeight="1">
      <c r="A22" s="35" t="n"/>
      <c r="B22" s="67" t="inlineStr">
        <is>
          <t>HU0020</t>
        </is>
      </c>
      <c r="C22" s="68" t="inlineStr">
        <is>
          <t>Responder en mi idioma</t>
        </is>
      </c>
      <c r="D22" s="58" t="inlineStr">
        <is>
          <t>Interlocutor</t>
        </is>
      </c>
      <c r="E22" s="58">
        <f>C22</f>
        <v/>
      </c>
      <c r="F22" s="58">
        <f>'Mapa de Impacto'!C11</f>
        <v/>
      </c>
      <c r="G22" s="57" t="n">
        <v>12</v>
      </c>
      <c r="H22" s="57" t="inlineStr">
        <is>
          <t>M</t>
        </is>
      </c>
      <c r="I22" s="57">
        <f>VLOOKUP(H22,Planificacion!$A$4:$B$9,2,FALSE)</f>
        <v/>
      </c>
      <c r="J22" s="57" t="n">
        <v>2</v>
      </c>
      <c r="K22" s="58" t="inlineStr">
        <is>
          <t>Cierra el dialogo en ambos sentidos.</t>
        </is>
      </c>
      <c r="L22" s="69" t="inlineStr">
        <is>
          <t>1. Cuando la otra persona escribe en su propio idioma, entonces su respuesta se traduce al idioma de la conversacion.
2. Para responder ya debe haberse reconocido mi idioma con mi primer mensaje.</t>
        </is>
      </c>
    </row>
    <row r="23" ht="60" customHeight="1">
      <c r="A23" s="67" t="inlineStr">
        <is>
          <t>Reportes</t>
        </is>
      </c>
      <c r="B23" s="67" t="inlineStr">
        <is>
          <t>HU0021</t>
        </is>
      </c>
      <c r="C23" s="68" t="inlineStr">
        <is>
          <t>Reportar una mala traduccion</t>
        </is>
      </c>
      <c r="D23" s="58" t="inlineStr">
        <is>
          <t>Cliente Traductor</t>
        </is>
      </c>
      <c r="E23" s="58">
        <f>C23</f>
        <v/>
      </c>
      <c r="F23" s="58">
        <f>'Mapa de Impacto'!C10</f>
        <v/>
      </c>
      <c r="G23" s="57" t="n">
        <v>18</v>
      </c>
      <c r="H23" s="57" t="inlineStr">
        <is>
          <t>M</t>
        </is>
      </c>
      <c r="I23" s="57">
        <f>VLOOKUP(H23,Planificacion!$A$4:$B$9,2,FALSE)</f>
        <v/>
      </c>
      <c r="J23" s="57" t="n">
        <v>3</v>
      </c>
      <c r="K23" s="58" t="inlineStr">
        <is>
          <t>Alimenta la mejora de calidad con casos reales.</t>
        </is>
      </c>
      <c r="L23" s="69" t="inlineStr">
        <is>
          <t>1. Cuando reporto una traduccion con un motivo de 3 a 500 caracteres, entonces el reporte se guarda y el mensaje queda marcado como 'Reportado'.
2. Solo puedo reportar una vez la misma traduccion y solo las de mis conversaciones.</t>
        </is>
      </c>
    </row>
    <row r="24" ht="64" customHeight="1">
      <c r="A24" s="35" t="n"/>
      <c r="B24" s="67" t="inlineStr">
        <is>
          <t>HU0022</t>
        </is>
      </c>
      <c r="C24" s="68" t="inlineStr">
        <is>
          <t>Revisar los reportes de mala traduccion</t>
        </is>
      </c>
      <c r="D24" s="58" t="inlineStr">
        <is>
          <t>Administrador</t>
        </is>
      </c>
      <c r="E24" s="58">
        <f>C24</f>
        <v/>
      </c>
      <c r="F24" s="58">
        <f>'Mapa de Impacto'!C13</f>
        <v/>
      </c>
      <c r="G24" s="57" t="n">
        <v>23</v>
      </c>
      <c r="H24" s="57" t="inlineStr">
        <is>
          <t>M</t>
        </is>
      </c>
      <c r="I24" s="57">
        <f>VLOOKUP(H24,Planificacion!$A$4:$B$9,2,FALSE)</f>
        <v/>
      </c>
      <c r="J24" s="57" t="n">
        <v>3</v>
      </c>
      <c r="K24" s="58" t="inlineStr">
        <is>
          <t>Permite priorizar que mejorar primero.</t>
        </is>
      </c>
      <c r="L24" s="69" t="inlineStr">
        <is>
          <t>1. Dado que soy administrador, cuando abro los reportes, entonces veo el original, la traduccion, el motivo y la sugerencia, y puedo filtrar por abiertos, revisados o descartados.
2. Puedo marcar un reporte como revisado o descartado.
3. Un cliente que no es administrador no puede ver ni cambiar reportes.</t>
        </is>
      </c>
    </row>
    <row r="25" ht="60" customHeight="1">
      <c r="A25" s="67" t="inlineStr">
        <is>
          <t>Administracion de idiomas y regiones</t>
        </is>
      </c>
      <c r="B25" s="67" t="inlineStr">
        <is>
          <t>HU0023</t>
        </is>
      </c>
      <c r="C25" s="68" t="inlineStr">
        <is>
          <t>Consultar los idiomas disponibles</t>
        </is>
      </c>
      <c r="D25" s="58" t="inlineStr">
        <is>
          <t>Cliente Traductor</t>
        </is>
      </c>
      <c r="E25" s="58">
        <f>C25</f>
        <v/>
      </c>
      <c r="F25" s="58">
        <f>'Mapa de Impacto'!C5</f>
        <v/>
      </c>
      <c r="G25" s="57" t="n">
        <v>13</v>
      </c>
      <c r="H25" s="57" t="inlineStr">
        <is>
          <t>XS</t>
        </is>
      </c>
      <c r="I25" s="57">
        <f>VLOOKUP(H25,Planificacion!$A$4:$B$9,2,FALSE)</f>
        <v/>
      </c>
      <c r="J25" s="57" t="n">
        <v>2</v>
      </c>
      <c r="K25" s="58" t="inlineStr">
        <is>
          <t>Muestra con que idiomas se puede hablar antes de empezar.</t>
        </is>
      </c>
      <c r="L25" s="69" t="inlineStr">
        <is>
          <t>1. Cuando abro la configuracion de una conversacion, entonces veo solo los idiomas activos con sus regiones.
2. Los idiomas desactivados no aparecen en la lista.</t>
        </is>
      </c>
    </row>
    <row r="26" ht="80" customHeight="1">
      <c r="A26" s="34" t="n"/>
      <c r="B26" s="67" t="inlineStr">
        <is>
          <t>HU0024</t>
        </is>
      </c>
      <c r="C26" s="68" t="inlineStr">
        <is>
          <t>Agregar un idioma o una region</t>
        </is>
      </c>
      <c r="D26" s="58" t="inlineStr">
        <is>
          <t>Administrador</t>
        </is>
      </c>
      <c r="E26" s="58">
        <f>C26</f>
        <v/>
      </c>
      <c r="F26" s="58">
        <f>'Mapa de Impacto'!C12</f>
        <v/>
      </c>
      <c r="G26" s="57" t="n">
        <v>24</v>
      </c>
      <c r="H26" s="57" t="inlineStr">
        <is>
          <t>M</t>
        </is>
      </c>
      <c r="I26" s="57">
        <f>VLOOKUP(H26,Planificacion!$A$4:$B$9,2,FALSE)</f>
        <v/>
      </c>
      <c r="J26" s="57" t="n">
        <v>3</v>
      </c>
      <c r="K26" s="58" t="inlineStr">
        <is>
          <t>Hace crecer el servicio a mas personas.</t>
        </is>
      </c>
      <c r="L26" s="69" t="inlineStr">
        <is>
          <t>1. Dado que soy administrador, cuando agrego un idioma, entonces necesita un nombre unico y un codigo de 2 a 5 letras, y queda desactivado hasta que lo active.
2. Una region no puede repetirse dentro del mismo pais; si el pais no existe, debo indicar su codigo de 2 letras.
3. Un cliente que no es administrador no puede agregar idiomas ni regiones.</t>
        </is>
      </c>
    </row>
    <row r="27" ht="60" customHeight="1">
      <c r="A27" s="35" t="n"/>
      <c r="B27" s="67" t="inlineStr">
        <is>
          <t>HU0025</t>
        </is>
      </c>
      <c r="C27" s="68" t="inlineStr">
        <is>
          <t>Activar o desactivar un idioma o una region</t>
        </is>
      </c>
      <c r="D27" s="58" t="inlineStr">
        <is>
          <t>Administrador</t>
        </is>
      </c>
      <c r="E27" s="58">
        <f>C27</f>
        <v/>
      </c>
      <c r="F27" s="58">
        <f>'Mapa de Impacto'!C12</f>
        <v/>
      </c>
      <c r="G27" s="57" t="n">
        <v>25</v>
      </c>
      <c r="H27" s="57" t="inlineStr">
        <is>
          <t>XS</t>
        </is>
      </c>
      <c r="I27" s="57">
        <f>VLOOKUP(H27,Planificacion!$A$4:$B$9,2,FALSE)</f>
        <v/>
      </c>
      <c r="J27" s="57" t="n">
        <v>2</v>
      </c>
      <c r="K27" s="58" t="inlineStr">
        <is>
          <t>Controla que idiomas se ofrecen con calidad suficiente.</t>
        </is>
      </c>
      <c r="L27" s="69" t="inlineStr">
        <is>
          <t>1. Cuando activo un idioma, entonces aparece en el catalogo para crear conversaciones; cuando lo desactivo, deja de aparecer.
2. Las conversaciones ya creadas no se ven afectadas.</t>
        </is>
      </c>
    </row>
  </sheetData>
  <mergeCells count="6">
    <mergeCell ref="A25:A27"/>
    <mergeCell ref="A2:A6"/>
    <mergeCell ref="A16:A20"/>
    <mergeCell ref="A23:A24"/>
    <mergeCell ref="A7:A15"/>
    <mergeCell ref="A21:A22"/>
  </mergeCells>
  <hyperlinks>
    <hyperlink ref="A2" location="'Traductor de mensajes'!A1" display="Traductor de mensajes"/>
  </hyperlink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H23"/>
  <sheetViews>
    <sheetView workbookViewId="0">
      <selection activeCell="A1" sqref="A1"/>
    </sheetView>
  </sheetViews>
  <sheetFormatPr baseColWidth="8" defaultRowHeight="15"/>
  <cols>
    <col width="12" customWidth="1" min="1" max="1"/>
    <col width="16" customWidth="1" min="2" max="2"/>
    <col width="18" customWidth="1" min="3" max="3"/>
    <col width="60" customWidth="1" min="4" max="4"/>
    <col width="28" customWidth="1" min="5" max="5"/>
    <col width="13" customWidth="1" min="6" max="6"/>
    <col width="13" customWidth="1" min="7" max="7"/>
    <col width="14" customWidth="1" min="8" max="8"/>
  </cols>
  <sheetData>
    <row r="1">
      <c r="A1" s="59" t="inlineStr">
        <is>
          <t>Tallas y horas estimadas (una persona desarrolla)</t>
        </is>
      </c>
      <c r="D1" s="59" t="inlineStr">
        <is>
          <t>Capacidad de un sprint</t>
        </is>
      </c>
    </row>
    <row r="3">
      <c r="A3" s="60" t="inlineStr">
        <is>
          <t>Talla</t>
        </is>
      </c>
      <c r="B3" s="60" t="inlineStr">
        <is>
          <t>Horas</t>
        </is>
      </c>
      <c r="D3" s="61" t="inlineStr">
        <is>
          <t>Dias del sprint</t>
        </is>
      </c>
      <c r="E3" s="62" t="n">
        <v>5</v>
      </c>
    </row>
    <row r="4">
      <c r="A4" s="62" t="inlineStr">
        <is>
          <t>XS</t>
        </is>
      </c>
      <c r="B4" s="62" t="n">
        <v>1</v>
      </c>
      <c r="D4" s="61" t="inlineStr">
        <is>
          <t>Horas por dia y por persona</t>
        </is>
      </c>
      <c r="E4" s="62" t="n">
        <v>4</v>
      </c>
    </row>
    <row r="5">
      <c r="A5" s="62" t="inlineStr">
        <is>
          <t>S</t>
        </is>
      </c>
      <c r="B5" s="62" t="n">
        <v>2</v>
      </c>
      <c r="D5" s="61" t="inlineStr">
        <is>
          <t>Personas</t>
        </is>
      </c>
      <c r="E5" s="62" t="n">
        <v>2</v>
      </c>
    </row>
    <row r="6">
      <c r="A6" s="62" t="inlineStr">
        <is>
          <t>M</t>
        </is>
      </c>
      <c r="B6" s="62" t="n">
        <v>4</v>
      </c>
      <c r="D6" s="61" t="inlineStr">
        <is>
          <t>Horas brutas por sprint</t>
        </is>
      </c>
      <c r="E6" s="62">
        <f>E3*E4*E5</f>
        <v/>
      </c>
    </row>
    <row r="7">
      <c r="A7" s="62" t="inlineStr">
        <is>
          <t>L</t>
        </is>
      </c>
      <c r="B7" s="62" t="n">
        <v>6</v>
      </c>
      <c r="D7" s="61" t="inlineStr">
        <is>
          <t>Porcentaje usable (el resto es planeacion, dailies, refinamiento y retrospectiva)</t>
        </is>
      </c>
      <c r="E7" s="63" t="n">
        <v>0.75</v>
      </c>
    </row>
    <row r="8">
      <c r="A8" s="62" t="inlineStr">
        <is>
          <t>XL</t>
        </is>
      </c>
      <c r="B8" s="62" t="n">
        <v>8</v>
      </c>
      <c r="D8" s="61" t="inlineStr">
        <is>
          <t>Horas disponibles por sprint</t>
        </is>
      </c>
      <c r="E8" s="62">
        <f>E6*E7</f>
        <v/>
      </c>
    </row>
    <row r="9">
      <c r="A9" s="62" t="inlineStr">
        <is>
          <t>XXL</t>
        </is>
      </c>
      <c r="B9" s="62" t="n">
        <v>12</v>
      </c>
    </row>
    <row r="12">
      <c r="A12" s="59" t="inlineStr">
        <is>
          <t>Plan por sprint</t>
        </is>
      </c>
    </row>
    <row r="13">
      <c r="A13" s="60" t="inlineStr">
        <is>
          <t>Sprint</t>
        </is>
      </c>
      <c r="B13" s="60" t="inlineStr">
        <is>
          <t>Horas planeadas</t>
        </is>
      </c>
      <c r="C13" s="60" t="inlineStr">
        <is>
          <t>Horas disponibles</t>
        </is>
      </c>
      <c r="D13" s="60" t="inlineStr">
        <is>
          <t>Diferencia</t>
        </is>
      </c>
      <c r="E13" s="60" t="inlineStr">
        <is>
          <t>Historias</t>
        </is>
      </c>
      <c r="F13" s="72" t="inlineStr">
        <is>
          <t>Inicio</t>
        </is>
      </c>
      <c r="G13" s="72" t="inlineStr">
        <is>
          <t>Fin</t>
        </is>
      </c>
      <c r="H13" s="72" t="inlineStr">
        <is>
          <t>Liberacion</t>
        </is>
      </c>
    </row>
    <row r="14">
      <c r="A14" s="64" t="n">
        <v>1</v>
      </c>
      <c r="B14" s="64">
        <f>SUMIF(Entregables!$J$2:$J$40,A14,Entregables!$I$2:$I$40)</f>
        <v/>
      </c>
      <c r="C14" s="64">
        <f>$E$8</f>
        <v/>
      </c>
      <c r="D14" s="64">
        <f>C14-B14</f>
        <v/>
      </c>
      <c r="E14" s="65" t="inlineStr">
        <is>
          <t>HU0003, HU0002, HU0001, HU0004, HU0005, HU0006</t>
        </is>
      </c>
      <c r="F14" s="75" t="n">
        <v>46314</v>
      </c>
      <c r="G14" s="75" t="n">
        <v>46318</v>
      </c>
      <c r="H14" s="62" t="inlineStr">
        <is>
          <t>Liberacion 1</t>
        </is>
      </c>
    </row>
    <row r="15">
      <c r="A15" s="64" t="n">
        <v>2</v>
      </c>
      <c r="B15" s="64">
        <f>SUMIF(Entregables!$J$2:$J$40,A15,Entregables!$I$2:$I$40)</f>
        <v/>
      </c>
      <c r="C15" s="64">
        <f>$E$8</f>
        <v/>
      </c>
      <c r="D15" s="64">
        <f>C15-B15</f>
        <v/>
      </c>
      <c r="E15" s="65" t="inlineStr">
        <is>
          <t>HU0007, HU0008, HU0009, HU0010, HU0019, HU0020, HU0023, HU0011, HU0012, HU0013, HU0014, HU0025</t>
        </is>
      </c>
      <c r="F15" s="75" t="n">
        <v>46321</v>
      </c>
      <c r="G15" s="75" t="n">
        <v>46325</v>
      </c>
      <c r="H15" s="62" t="inlineStr">
        <is>
          <t>Liberacion 2</t>
        </is>
      </c>
    </row>
    <row r="16">
      <c r="A16" s="64" t="n">
        <v>3</v>
      </c>
      <c r="B16" s="64">
        <f>SUMIF(Entregables!$J$2:$J$40,A16,Entregables!$I$2:$I$40)</f>
        <v/>
      </c>
      <c r="C16" s="64">
        <f>$E$8</f>
        <v/>
      </c>
      <c r="D16" s="64">
        <f>C16-B16</f>
        <v/>
      </c>
      <c r="E16" s="65" t="inlineStr">
        <is>
          <t>HU0015, HU0016, HU0021, HU0017, HU0018, HU0022, HU0024, HU0026</t>
        </is>
      </c>
      <c r="F16" s="75" t="n">
        <v>46328</v>
      </c>
      <c r="G16" s="75" t="n">
        <v>46332</v>
      </c>
      <c r="H16" s="62" t="inlineStr">
        <is>
          <t>Liberacion 3</t>
        </is>
      </c>
    </row>
    <row r="17">
      <c r="A17" s="66" t="inlineStr">
        <is>
          <t>Total</t>
        </is>
      </c>
      <c r="B17" s="66">
        <f>SUM(B14:B16)</f>
        <v/>
      </c>
    </row>
    <row r="19">
      <c r="A19" s="66" t="inlineStr">
        <is>
          <t>Notas</t>
        </is>
      </c>
    </row>
    <row r="20">
      <c r="A20" t="inlineStr">
        <is>
          <t>La prioridad va por valor para el negocio (no por dependencia): lo que mas valor genera es traducir; registrarse y cerrar sesion son de apoyo.</t>
        </is>
      </c>
    </row>
    <row r="21">
      <c r="A21" t="inlineStr">
        <is>
          <t>Se llenan los sprints de mayor a menor valor hasta quedar cerca de las horas disponibles; si sobra espacio se acomoda una historia pequena de mas abajo.</t>
        </is>
      </c>
    </row>
    <row r="22">
      <c r="A22" t="inlineStr">
        <is>
          <t>Las horas por talla son una estimacion; se pueden ajustar y las formulas recalculan los sprints.</t>
        </is>
      </c>
    </row>
    <row r="23">
      <c r="A23" t="inlineStr">
        <is>
          <t>Metodologico: el plan de liberaciones se arma con estos sprints.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9"/>
  <sheetViews>
    <sheetView workbookViewId="0">
      <selection activeCell="A1" sqref="A1"/>
    </sheetView>
  </sheetViews>
  <sheetFormatPr baseColWidth="8" defaultRowHeight="15"/>
  <cols>
    <col width="14" customWidth="1" min="1" max="1"/>
    <col width="8" customWidth="1" min="2" max="2"/>
    <col width="12" customWidth="1" min="3" max="3"/>
    <col width="12" customWidth="1" min="4" max="4"/>
    <col width="26" customWidth="1" min="5" max="5"/>
    <col width="60" customWidth="1" min="6" max="6"/>
    <col width="34" customWidth="1" min="7" max="7"/>
    <col width="8" customWidth="1" min="8" max="8"/>
  </cols>
  <sheetData>
    <row r="1">
      <c r="A1" s="59" t="inlineStr">
        <is>
          <t>Plan de liberaciones</t>
        </is>
      </c>
    </row>
    <row r="2">
      <c r="A2" t="inlineStr">
        <is>
          <t>Cada sprint dura una semana (lunes a viernes) y termina con una liberacion. El primer sprint empieza el lunes 19/10/2026.</t>
        </is>
      </c>
    </row>
    <row r="4">
      <c r="A4" s="60" t="inlineStr">
        <is>
          <t>Liberacion</t>
        </is>
      </c>
      <c r="B4" s="60" t="inlineStr">
        <is>
          <t>Sprint</t>
        </is>
      </c>
      <c r="C4" s="60" t="inlineStr">
        <is>
          <t>Inicio</t>
        </is>
      </c>
      <c r="D4" s="60" t="inlineStr">
        <is>
          <t>Fin</t>
        </is>
      </c>
      <c r="E4" s="60" t="inlineStr">
        <is>
          <t>Nombre</t>
        </is>
      </c>
      <c r="F4" s="60" t="inlineStr">
        <is>
          <t>Que recibe el usuario</t>
        </is>
      </c>
      <c r="G4" s="60" t="inlineStr">
        <is>
          <t>Historias</t>
        </is>
      </c>
      <c r="H4" s="60" t="inlineStr">
        <is>
          <t>Horas</t>
        </is>
      </c>
    </row>
    <row r="5" ht="75" customHeight="1">
      <c r="A5" s="64" t="inlineStr">
        <is>
          <t>Liberacion 1</t>
        </is>
      </c>
      <c r="B5" s="64" t="n">
        <v>1</v>
      </c>
      <c r="C5" s="76" t="n">
        <v>46314</v>
      </c>
      <c r="D5" s="76" t="n">
        <v>46318</v>
      </c>
      <c r="E5" s="65" t="inlineStr">
        <is>
          <t>Traduccion funcional</t>
        </is>
      </c>
      <c r="F5" s="65" t="inlineStr">
        <is>
          <t>El usuario puede escribir o hablar un mensaje, recibirlo traducido con el tono y los modismos adaptados, escucharlo y obtenerlo por el mismo canal. Es el valor central del producto.</t>
        </is>
      </c>
      <c r="G5" s="65" t="inlineStr">
        <is>
          <t>HU0003, HU0002, HU0001, HU0004, HU0005, HU0006</t>
        </is>
      </c>
      <c r="H5" s="64">
        <f>SUMIF(Entregables!$J$2:$J$40,B5,Entregables!$I$2:$I$40)</f>
        <v/>
      </c>
    </row>
    <row r="6" ht="75" customHeight="1">
      <c r="A6" s="64" t="inlineStr">
        <is>
          <t>Liberacion 2</t>
        </is>
      </c>
      <c r="B6" s="64" t="n">
        <v>2</v>
      </c>
      <c r="C6" s="76" t="n">
        <v>46321</v>
      </c>
      <c r="D6" s="76" t="n">
        <v>46325</v>
      </c>
      <c r="E6" s="65" t="inlineStr">
        <is>
          <t>Conversaciones completas</t>
        </is>
      </c>
      <c r="F6" s="65" t="inlineStr">
        <is>
          <t>El usuario organiza sus conversaciones (reconocer idioma, crear, hilo continuo, historial, renombrar y eliminar), la otra persona participa y el administrador controla que idiomas se activan.</t>
        </is>
      </c>
      <c r="G6" s="65" t="inlineStr">
        <is>
          <t>HU0007, HU0008, HU0009, HU0010, HU0019, HU0020, HU0023, HU0011, HU0012, HU0013, HU0014, HU0025</t>
        </is>
      </c>
      <c r="H6" s="64">
        <f>SUMIF(Entregables!$J$2:$J$40,B6,Entregables!$I$2:$I$40)</f>
        <v/>
      </c>
    </row>
    <row r="7" ht="75" customHeight="1">
      <c r="A7" s="64" t="inlineStr">
        <is>
          <t>Liberacion 3</t>
        </is>
      </c>
      <c r="B7" s="64" t="n">
        <v>3</v>
      </c>
      <c r="C7" s="76" t="n">
        <v>46328</v>
      </c>
      <c r="D7" s="76" t="n">
        <v>46332</v>
      </c>
      <c r="E7" s="65" t="inlineStr">
        <is>
          <t>Cuentas, calidad y administracion</t>
        </is>
      </c>
      <c r="F7" s="65" t="inlineStr">
        <is>
          <t>Registro con consentimiento de datos, inicio y cierre de sesion, recuperacion de contrasena, eliminar la cuenta, reportar y revisar malas traducciones, y agregar idiomas y regiones.</t>
        </is>
      </c>
      <c r="G7" s="65" t="inlineStr">
        <is>
          <t>HU0015, HU0016, HU0021, HU0017, HU0018, HU0022, HU0024, HU0026</t>
        </is>
      </c>
      <c r="H7" s="64">
        <f>SUMIF(Entregables!$J$2:$J$40,B7,Entregables!$I$2:$I$40)</f>
        <v/>
      </c>
    </row>
    <row r="9">
      <c r="A9" t="inlineStr">
        <is>
          <t>Nota: el orden sale de la prioridad por valor; el plan es metodologico y las horas reales de cada semana pueden variar.</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10" defaultColWidth="8.83203125" defaultRowHeight="15"/>
  <cols>
    <col width="30" customWidth="1" min="1" max="1"/>
    <col width="46" customWidth="1" min="2" max="3"/>
    <col width="58" customWidth="1" min="4" max="4"/>
  </cols>
  <sheetData>
    <row r="1" ht="16" customHeight="1">
      <c r="A1" s="17" t="inlineStr">
        <is>
          <t>Entregable</t>
        </is>
      </c>
      <c r="B1" s="18" t="inlineStr">
        <is>
          <t>Traduccion de mensajes</t>
        </is>
      </c>
    </row>
    <row r="2" ht="16" customHeight="1">
      <c r="A2" s="17" t="inlineStr">
        <is>
          <t>Actor</t>
        </is>
      </c>
      <c r="B2" s="18" t="inlineStr">
        <is>
          <t>Cliente Traductor</t>
        </is>
      </c>
    </row>
    <row r="3" ht="90" customHeight="1">
      <c r="A3" s="17" t="inlineStr">
        <is>
          <t>Impacto (para)</t>
        </is>
      </c>
      <c r="B3" s="18">
        <f>'Mapa de Impacto'!C4&amp;CHAR(10)&amp;'Mapa de Impacto'!C9</f>
        <v/>
      </c>
    </row>
    <row r="5">
      <c r="A5" s="19" t="inlineStr">
        <is>
          <t>← Volver al Mapa de Impacto</t>
        </is>
      </c>
    </row>
    <row r="7" ht="16" customHeight="1">
      <c r="A7" s="20" t="inlineStr">
        <is>
          <t>Característica</t>
        </is>
      </c>
      <c r="B7" s="20" t="inlineStr">
        <is>
          <t>Como</t>
        </is>
      </c>
      <c r="C7" s="20" t="inlineStr">
        <is>
          <t>Necesito</t>
        </is>
      </c>
      <c r="D7" s="20" t="inlineStr">
        <is>
          <t>Para</t>
        </is>
      </c>
    </row>
    <row r="8" ht="45" customHeight="1">
      <c r="A8" s="18">
        <f>Entregables!C2</f>
        <v/>
      </c>
      <c r="B8" s="18">
        <f>Entregables!D2</f>
        <v/>
      </c>
      <c r="C8" s="18">
        <f>Entregables!E2</f>
        <v/>
      </c>
      <c r="D8" s="18">
        <f>Entregables!F2</f>
        <v/>
      </c>
    </row>
    <row r="9" ht="45" customHeight="1">
      <c r="A9" s="18">
        <f>Entregables!C3</f>
        <v/>
      </c>
      <c r="B9" s="18">
        <f>Entregables!D3</f>
        <v/>
      </c>
      <c r="C9" s="18">
        <f>Entregables!E3</f>
        <v/>
      </c>
      <c r="D9" s="18">
        <f>Entregables!F3</f>
        <v/>
      </c>
    </row>
    <row r="10" ht="45" customHeight="1">
      <c r="A10" s="18">
        <f>Entregables!C4</f>
        <v/>
      </c>
      <c r="B10" s="18">
        <f>Entregables!D4</f>
        <v/>
      </c>
      <c r="C10" s="18">
        <f>Entregables!E4</f>
        <v/>
      </c>
      <c r="D10" s="18">
        <f>Entregables!F4</f>
        <v/>
      </c>
    </row>
    <row r="11" ht="45" customHeight="1">
      <c r="A11" s="18">
        <f>Entregables!C5</f>
        <v/>
      </c>
      <c r="B11" s="18">
        <f>Entregables!D5</f>
        <v/>
      </c>
      <c r="C11" s="18">
        <f>Entregables!E5</f>
        <v/>
      </c>
      <c r="D11" s="18">
        <f>Entregables!F5</f>
        <v/>
      </c>
    </row>
    <row r="12" ht="45" customHeight="1">
      <c r="A12" s="18">
        <f>Entregables!C6</f>
        <v/>
      </c>
      <c r="B12" s="18">
        <f>Entregables!D6</f>
        <v/>
      </c>
      <c r="C12" s="18">
        <f>Entregables!E6</f>
        <v/>
      </c>
      <c r="D12" s="18">
        <f>Entregables!F6</f>
        <v/>
      </c>
    </row>
  </sheetData>
  <hyperlinks>
    <hyperlink ref="A5" location="'Mapa de Impacto'!A1" display="← Volver al Mapa de Impacto"/>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10" defaultColWidth="8.83203125" defaultRowHeight="15"/>
  <cols>
    <col width="30" customWidth="1" min="1" max="1"/>
    <col width="46" customWidth="1" min="2" max="3"/>
    <col width="58" customWidth="1" min="4" max="4"/>
  </cols>
  <sheetData>
    <row r="1" ht="16" customHeight="1">
      <c r="A1" s="17" t="inlineStr">
        <is>
          <t>Entregable</t>
        </is>
      </c>
      <c r="B1" s="18" t="inlineStr">
        <is>
          <t>Gestion de conversaciones</t>
        </is>
      </c>
    </row>
    <row r="2" ht="16" customHeight="1">
      <c r="A2" s="17" t="inlineStr">
        <is>
          <t>Actor</t>
        </is>
      </c>
      <c r="B2" s="18" t="inlineStr">
        <is>
          <t>Cliente Traductor</t>
        </is>
      </c>
    </row>
    <row r="3" ht="135" customHeight="1">
      <c r="A3" s="17" t="inlineStr">
        <is>
          <t>Impacto (para)</t>
        </is>
      </c>
      <c r="B3" s="18">
        <f>'Mapa de Impacto'!C5&amp;CHAR(10)&amp;'Mapa de Impacto'!C6&amp;CHAR(10)&amp;'Mapa de Impacto'!C7</f>
        <v/>
      </c>
    </row>
    <row r="5">
      <c r="A5" s="19" t="inlineStr">
        <is>
          <t>← Volver al Mapa de Impacto</t>
        </is>
      </c>
    </row>
    <row r="7" ht="16" customHeight="1">
      <c r="A7" s="20" t="inlineStr">
        <is>
          <t>Característica</t>
        </is>
      </c>
      <c r="B7" s="20" t="inlineStr">
        <is>
          <t>Como</t>
        </is>
      </c>
      <c r="C7" s="20" t="inlineStr">
        <is>
          <t>Necesito</t>
        </is>
      </c>
      <c r="D7" s="20" t="inlineStr">
        <is>
          <t>Para</t>
        </is>
      </c>
    </row>
    <row r="8" ht="45" customHeight="1">
      <c r="A8" s="18">
        <f>Entregables!C7</f>
        <v/>
      </c>
      <c r="B8" s="18">
        <f>Entregables!D7</f>
        <v/>
      </c>
      <c r="C8" s="18">
        <f>Entregables!E7</f>
        <v/>
      </c>
      <c r="D8" s="18">
        <f>Entregables!F7</f>
        <v/>
      </c>
    </row>
    <row r="9" ht="45" customHeight="1">
      <c r="A9" s="18">
        <f>Entregables!C8</f>
        <v/>
      </c>
      <c r="B9" s="18">
        <f>Entregables!D8</f>
        <v/>
      </c>
      <c r="C9" s="18">
        <f>Entregables!E8</f>
        <v/>
      </c>
      <c r="D9" s="18">
        <f>Entregables!F8</f>
        <v/>
      </c>
    </row>
    <row r="10" ht="45" customHeight="1">
      <c r="A10" s="18">
        <f>Entregables!C9</f>
        <v/>
      </c>
      <c r="B10" s="18">
        <f>Entregables!D9</f>
        <v/>
      </c>
      <c r="C10" s="18">
        <f>Entregables!E9</f>
        <v/>
      </c>
      <c r="D10" s="18">
        <f>Entregables!F9</f>
        <v/>
      </c>
    </row>
    <row r="11" ht="45" customHeight="1">
      <c r="A11" s="18">
        <f>Entregables!C10</f>
        <v/>
      </c>
      <c r="B11" s="18">
        <f>Entregables!D10</f>
        <v/>
      </c>
      <c r="C11" s="18">
        <f>Entregables!E10</f>
        <v/>
      </c>
      <c r="D11" s="18">
        <f>Entregables!F10</f>
        <v/>
      </c>
    </row>
    <row r="12" ht="45" customHeight="1">
      <c r="A12" s="18">
        <f>Entregables!C11</f>
        <v/>
      </c>
      <c r="B12" s="18">
        <f>Entregables!D11</f>
        <v/>
      </c>
      <c r="C12" s="18">
        <f>Entregables!E11</f>
        <v/>
      </c>
      <c r="D12" s="18">
        <f>Entregables!F11</f>
        <v/>
      </c>
    </row>
    <row r="13" ht="45" customHeight="1">
      <c r="A13" s="18">
        <f>Entregables!C12</f>
        <v/>
      </c>
      <c r="B13" s="18">
        <f>Entregables!D12</f>
        <v/>
      </c>
      <c r="C13" s="18">
        <f>Entregables!E12</f>
        <v/>
      </c>
      <c r="D13" s="18">
        <f>Entregables!F12</f>
        <v/>
      </c>
    </row>
    <row r="14" ht="45" customHeight="1">
      <c r="A14" s="18">
        <f>Entregables!C13</f>
        <v/>
      </c>
      <c r="B14" s="18">
        <f>Entregables!D13</f>
        <v/>
      </c>
      <c r="C14" s="18">
        <f>Entregables!E13</f>
        <v/>
      </c>
      <c r="D14" s="18">
        <f>Entregables!F13</f>
        <v/>
      </c>
    </row>
    <row r="15" ht="45" customHeight="1">
      <c r="A15" s="18">
        <f>Entregables!C14</f>
        <v/>
      </c>
      <c r="B15" s="18">
        <f>Entregables!D14</f>
        <v/>
      </c>
      <c r="C15" s="18">
        <f>Entregables!E14</f>
        <v/>
      </c>
      <c r="D15" s="18">
        <f>Entregables!F14</f>
        <v/>
      </c>
    </row>
    <row r="16" ht="45" customHeight="1">
      <c r="A16" s="18">
        <f>Entregables!C15</f>
        <v/>
      </c>
      <c r="B16" s="18">
        <f>Entregables!D15</f>
        <v/>
      </c>
      <c r="C16" s="18">
        <f>Entregables!E15</f>
        <v/>
      </c>
      <c r="D16" s="18">
        <f>Entregables!F15</f>
        <v/>
      </c>
    </row>
  </sheetData>
  <hyperlinks>
    <hyperlink ref="A5" location="'Mapa de Impacto'!A1" display="← Volver al Mapa de Impacto"/>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10" defaultColWidth="8.83203125" defaultRowHeight="15"/>
  <cols>
    <col width="30" customWidth="1" min="1" max="1"/>
    <col width="46" customWidth="1" min="2" max="3"/>
    <col width="58" customWidth="1" min="4" max="4"/>
  </cols>
  <sheetData>
    <row r="1" ht="16" customHeight="1">
      <c r="A1" s="17" t="inlineStr">
        <is>
          <t>Entregable</t>
        </is>
      </c>
      <c r="B1" s="18" t="inlineStr">
        <is>
          <t>Cuenta de usuario</t>
        </is>
      </c>
    </row>
    <row r="2" ht="16" customHeight="1">
      <c r="A2" s="17" t="inlineStr">
        <is>
          <t>Actor</t>
        </is>
      </c>
      <c r="B2" s="18" t="inlineStr">
        <is>
          <t>Cliente Traductor</t>
        </is>
      </c>
    </row>
    <row r="3" ht="45" customHeight="1">
      <c r="A3" s="17" t="inlineStr">
        <is>
          <t>Impacto (para)</t>
        </is>
      </c>
      <c r="B3" s="18">
        <f>'Mapa de Impacto'!C8</f>
        <v/>
      </c>
    </row>
    <row r="5">
      <c r="A5" s="19" t="inlineStr">
        <is>
          <t>← Volver al Mapa de Impacto</t>
        </is>
      </c>
    </row>
    <row r="7" ht="16" customHeight="1">
      <c r="A7" s="20" t="inlineStr">
        <is>
          <t>Característica</t>
        </is>
      </c>
      <c r="B7" s="20" t="inlineStr">
        <is>
          <t>Como</t>
        </is>
      </c>
      <c r="C7" s="20" t="inlineStr">
        <is>
          <t>Necesito</t>
        </is>
      </c>
      <c r="D7" s="20" t="inlineStr">
        <is>
          <t>Para</t>
        </is>
      </c>
    </row>
    <row r="8" ht="45" customHeight="1">
      <c r="A8" s="18">
        <f>Entregables!C16</f>
        <v/>
      </c>
      <c r="B8" s="18">
        <f>Entregables!D16</f>
        <v/>
      </c>
      <c r="C8" s="18">
        <f>Entregables!E16</f>
        <v/>
      </c>
      <c r="D8" s="18">
        <f>Entregables!F16</f>
        <v/>
      </c>
    </row>
    <row r="9" ht="45" customHeight="1">
      <c r="A9" s="18">
        <f>Entregables!C17</f>
        <v/>
      </c>
      <c r="B9" s="18">
        <f>Entregables!D17</f>
        <v/>
      </c>
      <c r="C9" s="18">
        <f>Entregables!E17</f>
        <v/>
      </c>
      <c r="D9" s="18">
        <f>Entregables!F17</f>
        <v/>
      </c>
    </row>
    <row r="10" ht="45" customHeight="1">
      <c r="A10" s="18">
        <f>Entregables!C18</f>
        <v/>
      </c>
      <c r="B10" s="18">
        <f>Entregables!D18</f>
        <v/>
      </c>
      <c r="C10" s="18">
        <f>Entregables!E18</f>
        <v/>
      </c>
      <c r="D10" s="18">
        <f>Entregables!F18</f>
        <v/>
      </c>
    </row>
    <row r="11" ht="45" customHeight="1">
      <c r="A11" s="18">
        <f>Entregables!C19</f>
        <v/>
      </c>
      <c r="B11" s="18">
        <f>Entregables!D19</f>
        <v/>
      </c>
      <c r="C11" s="18">
        <f>Entregables!E19</f>
        <v/>
      </c>
      <c r="D11" s="18">
        <f>Entregables!F19</f>
        <v/>
      </c>
    </row>
    <row r="12" ht="45" customHeight="1">
      <c r="A12" s="18">
        <f>Entregables!C20</f>
        <v/>
      </c>
      <c r="B12" s="18">
        <f>Entregables!D20</f>
        <v/>
      </c>
      <c r="C12" s="18">
        <f>Entregables!E20</f>
        <v/>
      </c>
      <c r="D12" s="18">
        <f>Entregables!F20</f>
        <v/>
      </c>
    </row>
  </sheetData>
  <hyperlinks>
    <hyperlink ref="A5" location="'Mapa de Impacto'!A1" display="← Volver al Mapa de Impacto"/>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10" defaultColWidth="8.83203125" defaultRowHeight="15"/>
  <cols>
    <col width="30" customWidth="1" min="1" max="1"/>
    <col width="46" customWidth="1" min="2" max="3"/>
    <col width="58" customWidth="1" min="4" max="4"/>
  </cols>
  <sheetData>
    <row r="1" ht="16" customHeight="1">
      <c r="A1" s="17" t="inlineStr">
        <is>
          <t>Entregable</t>
        </is>
      </c>
      <c r="B1" s="18" t="inlineStr">
        <is>
          <t>Participacion del interlocutor</t>
        </is>
      </c>
    </row>
    <row r="2" ht="16" customHeight="1">
      <c r="A2" s="17" t="inlineStr">
        <is>
          <t>Actor</t>
        </is>
      </c>
      <c r="B2" s="18" t="inlineStr">
        <is>
          <t>Interlocutor</t>
        </is>
      </c>
    </row>
    <row r="3" ht="45" customHeight="1">
      <c r="A3" s="17" t="inlineStr">
        <is>
          <t>Impacto (para)</t>
        </is>
      </c>
      <c r="B3" s="18">
        <f>'Mapa de Impacto'!C11</f>
        <v/>
      </c>
    </row>
    <row r="5">
      <c r="A5" s="19" t="inlineStr">
        <is>
          <t>← Volver al Mapa de Impacto</t>
        </is>
      </c>
    </row>
    <row r="7" ht="16" customHeight="1">
      <c r="A7" s="20" t="inlineStr">
        <is>
          <t>Característica</t>
        </is>
      </c>
      <c r="B7" s="20" t="inlineStr">
        <is>
          <t>Como</t>
        </is>
      </c>
      <c r="C7" s="20" t="inlineStr">
        <is>
          <t>Necesito</t>
        </is>
      </c>
      <c r="D7" s="20" t="inlineStr">
        <is>
          <t>Para</t>
        </is>
      </c>
    </row>
    <row r="8" ht="45" customHeight="1">
      <c r="A8" s="18">
        <f>Entregables!C21</f>
        <v/>
      </c>
      <c r="B8" s="18">
        <f>Entregables!D21</f>
        <v/>
      </c>
      <c r="C8" s="18">
        <f>Entregables!E21</f>
        <v/>
      </c>
      <c r="D8" s="18">
        <f>Entregables!F21</f>
        <v/>
      </c>
    </row>
    <row r="9" ht="45" customHeight="1">
      <c r="A9" s="18">
        <f>Entregables!C22</f>
        <v/>
      </c>
      <c r="B9" s="18">
        <f>Entregables!D22</f>
        <v/>
      </c>
      <c r="C9" s="18">
        <f>Entregables!E22</f>
        <v/>
      </c>
      <c r="D9" s="18">
        <f>Entregables!F22</f>
        <v/>
      </c>
    </row>
    <row r="10" ht="45" customHeight="1">
      <c r="A10" s="18" t="n"/>
      <c r="B10" s="18" t="n"/>
      <c r="C10" s="18" t="n"/>
      <c r="D10" s="18" t="n"/>
    </row>
    <row r="11" ht="45" customHeight="1">
      <c r="A11" s="18" t="n"/>
      <c r="B11" s="18" t="n"/>
      <c r="C11" s="18" t="n"/>
      <c r="D11" s="18" t="n"/>
    </row>
  </sheetData>
  <hyperlinks>
    <hyperlink ref="A5" location="'Mapa de Impacto'!A1" display="← Volver al Mapa de Impacto"/>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10" defaultColWidth="8.83203125" defaultRowHeight="15"/>
  <cols>
    <col width="30" customWidth="1" min="1" max="1"/>
    <col width="46" customWidth="1" min="2" max="3"/>
    <col width="58" customWidth="1" min="4" max="4"/>
  </cols>
  <sheetData>
    <row r="1" ht="16" customHeight="1">
      <c r="A1" s="17" t="inlineStr">
        <is>
          <t>Entregable</t>
        </is>
      </c>
      <c r="B1" s="18" t="inlineStr">
        <is>
          <t>Reportes</t>
        </is>
      </c>
    </row>
    <row r="2" ht="16" customHeight="1">
      <c r="A2" s="17" t="inlineStr">
        <is>
          <t>Actor</t>
        </is>
      </c>
      <c r="B2" s="18" t="inlineStr">
        <is>
          <t>Cliente Traductor / Administrador</t>
        </is>
      </c>
    </row>
    <row r="3" ht="90" customHeight="1">
      <c r="A3" s="17" t="inlineStr">
        <is>
          <t>Impacto (para)</t>
        </is>
      </c>
      <c r="B3" s="18">
        <f>'Mapa de Impacto'!C10&amp;CHAR(10)&amp;'Mapa de Impacto'!C13</f>
        <v/>
      </c>
    </row>
    <row r="5">
      <c r="A5" s="19" t="inlineStr">
        <is>
          <t>← Volver al Mapa de Impacto</t>
        </is>
      </c>
    </row>
    <row r="7" ht="16" customHeight="1">
      <c r="A7" s="20" t="inlineStr">
        <is>
          <t>Característica</t>
        </is>
      </c>
      <c r="B7" s="20" t="inlineStr">
        <is>
          <t>Como</t>
        </is>
      </c>
      <c r="C7" s="20" t="inlineStr">
        <is>
          <t>Necesito</t>
        </is>
      </c>
      <c r="D7" s="20" t="inlineStr">
        <is>
          <t>Para</t>
        </is>
      </c>
    </row>
    <row r="8" ht="45" customHeight="1">
      <c r="A8" s="18">
        <f>Entregables!C23</f>
        <v/>
      </c>
      <c r="B8" s="18">
        <f>Entregables!D23</f>
        <v/>
      </c>
      <c r="C8" s="18">
        <f>Entregables!E23</f>
        <v/>
      </c>
      <c r="D8" s="18">
        <f>Entregables!F23</f>
        <v/>
      </c>
    </row>
    <row r="9" ht="45" customHeight="1">
      <c r="A9" s="18">
        <f>Entregables!C24</f>
        <v/>
      </c>
      <c r="B9" s="18">
        <f>Entregables!D24</f>
        <v/>
      </c>
      <c r="C9" s="18">
        <f>Entregables!E24</f>
        <v/>
      </c>
      <c r="D9" s="18">
        <f>Entregables!F24</f>
        <v/>
      </c>
    </row>
    <row r="10" ht="45" customHeight="1">
      <c r="A10" s="18" t="n"/>
      <c r="B10" s="18" t="n"/>
      <c r="C10" s="18" t="n"/>
      <c r="D10" s="18" t="n"/>
    </row>
    <row r="11" ht="45" customHeight="1">
      <c r="A11" s="18" t="n"/>
      <c r="B11" s="18" t="n"/>
      <c r="C11" s="18" t="n"/>
      <c r="D11" s="18" t="n"/>
    </row>
  </sheetData>
  <hyperlinks>
    <hyperlink ref="A5" location="'Mapa de Impacto'!A1" display="← Volver al Mapa de Impacto"/>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10" defaultColWidth="8.83203125" defaultRowHeight="15"/>
  <cols>
    <col width="30" customWidth="1" min="1" max="1"/>
    <col width="46" customWidth="1" min="2" max="3"/>
    <col width="58" customWidth="1" min="4" max="4"/>
  </cols>
  <sheetData>
    <row r="1" ht="16" customHeight="1">
      <c r="A1" s="17" t="inlineStr">
        <is>
          <t>Entregable</t>
        </is>
      </c>
      <c r="B1" s="18" t="inlineStr">
        <is>
          <t>Administracion de idiomas y regiones</t>
        </is>
      </c>
    </row>
    <row r="2" ht="16" customHeight="1">
      <c r="A2" s="17" t="inlineStr">
        <is>
          <t>Actor</t>
        </is>
      </c>
      <c r="B2" s="18" t="inlineStr">
        <is>
          <t>Cliente Traductor / Administrador</t>
        </is>
      </c>
    </row>
    <row r="3" ht="90" customHeight="1">
      <c r="A3" s="17" t="inlineStr">
        <is>
          <t>Impacto (para)</t>
        </is>
      </c>
      <c r="B3" s="18">
        <f>'Mapa de Impacto'!C5&amp;CHAR(10)&amp;'Mapa de Impacto'!C12</f>
        <v/>
      </c>
    </row>
    <row r="5">
      <c r="A5" s="19" t="inlineStr">
        <is>
          <t>← Volver al Mapa de Impacto</t>
        </is>
      </c>
    </row>
    <row r="7" ht="16" customHeight="1">
      <c r="A7" s="20" t="inlineStr">
        <is>
          <t>Característica</t>
        </is>
      </c>
      <c r="B7" s="20" t="inlineStr">
        <is>
          <t>Como</t>
        </is>
      </c>
      <c r="C7" s="20" t="inlineStr">
        <is>
          <t>Necesito</t>
        </is>
      </c>
      <c r="D7" s="20" t="inlineStr">
        <is>
          <t>Para</t>
        </is>
      </c>
    </row>
    <row r="8" ht="45" customHeight="1">
      <c r="A8" s="18">
        <f>Entregables!C25</f>
        <v/>
      </c>
      <c r="B8" s="18">
        <f>Entregables!D25</f>
        <v/>
      </c>
      <c r="C8" s="18">
        <f>Entregables!E25</f>
        <v/>
      </c>
      <c r="D8" s="18">
        <f>Entregables!F25</f>
        <v/>
      </c>
    </row>
    <row r="9" ht="45" customHeight="1">
      <c r="A9" s="18">
        <f>Entregables!C26</f>
        <v/>
      </c>
      <c r="B9" s="18">
        <f>Entregables!D26</f>
        <v/>
      </c>
      <c r="C9" s="18">
        <f>Entregables!E26</f>
        <v/>
      </c>
      <c r="D9" s="18">
        <f>Entregables!F26</f>
        <v/>
      </c>
    </row>
    <row r="10" ht="45" customHeight="1">
      <c r="A10" s="18">
        <f>Entregables!C27</f>
        <v/>
      </c>
      <c r="B10" s="18">
        <f>Entregables!D27</f>
        <v/>
      </c>
      <c r="C10" s="18">
        <f>Entregables!E27</f>
        <v/>
      </c>
      <c r="D10" s="18">
        <f>Entregables!F27</f>
        <v/>
      </c>
    </row>
    <row r="11" ht="45" customHeight="1">
      <c r="A11" s="18" t="n"/>
      <c r="B11" s="18" t="n"/>
      <c r="C11" s="18" t="n"/>
      <c r="D11" s="18" t="n"/>
    </row>
  </sheetData>
  <hyperlinks>
    <hyperlink ref="A5" location="'Mapa de Impacto'!A1" display="← Volver al Mapa de Impacto"/>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2026-08-15T20:22:39Z</dcterms:created>
  <dcterms:modified xsi:type="dcterms:W3CDTF">2026-10-14T20:52:26Z</dcterms:modified>
  <cp:lastModifiedBy>Julian David Diaz Medina</cp:lastModifiedBy>
</cp:coreProperties>
</file>