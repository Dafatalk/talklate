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60" yWindow="940" windowWidth="35680" windowHeight="22280" tabRatio="600" firstSheet="0" activeTab="1" autoFilterDateGrouping="1"/>
  </bookViews>
  <sheets>
    <sheet name="Mapa de Impacto" sheetId="1" state="visible" r:id="rId1"/>
    <sheet name="Entregables" sheetId="2" state="visible" r:id="rId2"/>
    <sheet name="Planificacion" sheetId="3" state="visible" r:id="rId3"/>
    <sheet name="Backlog - Historias de Usuario" sheetId="4" state="visible" r:id="rId4"/>
    <sheet name="Traduccion de mensajes" sheetId="5" state="visible" r:id="rId5"/>
    <sheet name="Gestion de conversaciones" sheetId="6" state="visible" r:id="rId6"/>
    <sheet name="Cuenta de usuario" sheetId="7" state="visible" r:id="rId7"/>
    <sheet name="Participacion interlocutor" sheetId="8" state="visible" r:id="rId8"/>
    <sheet name="Reportes" sheetId="9" state="visible" r:id="rId9"/>
    <sheet name="Admin idiomas y regiones" sheetId="10" state="visible" r:id="rId10"/>
  </sheets>
  <definedNames/>
  <calcPr calcId="191029"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b val="1"/>
      <color rgb="FF000000"/>
      <sz val="11"/>
    </font>
    <font>
      <name val="Calibri"/>
      <family val="2"/>
      <b val="1"/>
      <sz val="11"/>
    </font>
    <font>
      <name val="Calibri"/>
      <family val="2"/>
      <sz val="10"/>
    </font>
    <font>
      <name val="Calibri"/>
      <family val="2"/>
      <b val="1"/>
      <color theme="1"/>
      <sz val="11"/>
    </font>
    <font>
      <name val="Calibri"/>
      <family val="2"/>
      <b val="1"/>
      <sz val="11"/>
    </font>
    <font>
      <name val="Calibri"/>
      <family val="2"/>
      <sz val="10"/>
    </font>
    <font>
      <name val="Calibri"/>
      <family val="2"/>
      <b val="1"/>
      <color rgb="FF0563C1"/>
      <sz val="11"/>
      <u val="single"/>
    </font>
    <font>
      <name val="Calibri"/>
      <family val="2"/>
      <color rgb="FF0563C1"/>
      <sz val="10"/>
      <u val="single"/>
    </font>
    <font>
      <name val="Calibri"/>
      <family val="2"/>
      <sz val="11"/>
    </font>
    <font>
      <name val="Calibri"/>
      <family val="2"/>
      <color rgb="FF0563C1"/>
      <sz val="11"/>
      <u val="single"/>
    </font>
    <font>
      <name val="Calibri"/>
      <family val="2"/>
      <b val="1"/>
      <color theme="1"/>
      <sz val="11"/>
      <scheme val="minor"/>
    </font>
    <font>
      <b val="1"/>
      <sz val="12"/>
    </font>
    <font>
      <b val="1"/>
    </font>
  </fonts>
  <fills count="10">
    <fill>
      <patternFill/>
    </fill>
    <fill>
      <patternFill patternType="gray125"/>
    </fill>
    <fill>
      <patternFill patternType="solid">
        <fgColor rgb="FFA9D08E"/>
        <bgColor rgb="FF000000"/>
      </patternFill>
    </fill>
    <fill>
      <patternFill patternType="solid">
        <fgColor rgb="FFE2EFDA"/>
      </patternFill>
    </fill>
    <fill>
      <patternFill patternType="solid">
        <fgColor rgb="FFFFF2CC"/>
      </patternFill>
    </fill>
    <fill>
      <patternFill patternType="solid">
        <fgColor rgb="FFFCE4D6"/>
      </patternFill>
    </fill>
    <fill>
      <patternFill patternType="solid">
        <fgColor rgb="FF92D050"/>
        <bgColor indexed="64"/>
      </patternFill>
    </fill>
    <fill>
      <patternFill patternType="solid">
        <fgColor rgb="FF92D050"/>
      </patternFill>
    </fill>
    <fill>
      <patternFill patternType="solid">
        <fgColor theme="8" tint="0.5999938962981048"/>
        <bgColor indexed="64"/>
      </patternFill>
    </fill>
    <fill>
      <patternFill patternType="solid">
        <fgColor rgb="0092D050"/>
      </patternFill>
    </fill>
  </fills>
  <borders count="29">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bottom/>
      <diagonal/>
    </border>
    <border>
      <left style="medium">
        <color indexed="64"/>
      </left>
      <right/>
      <top/>
      <bottom/>
      <diagonal/>
    </border>
    <border>
      <left style="medium">
        <color indexed="64"/>
      </left>
      <right style="thin">
        <color indexed="64"/>
      </right>
      <top/>
      <bottom style="thin">
        <color indexed="64"/>
      </bottom>
      <diagonal/>
    </border>
    <border>
      <left/>
      <right/>
      <top style="medium">
        <color indexed="64"/>
      </top>
      <bottom/>
      <diagonal/>
    </border>
    <border>
      <left/>
      <right style="thin">
        <color indexed="64"/>
      </right>
      <top style="medium">
        <color indexed="64"/>
      </top>
      <bottom/>
      <diagonal/>
    </border>
    <border>
      <left style="thin">
        <color rgb="FFBFBFBF"/>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67">
    <xf numFmtId="0" fontId="0" fillId="0" borderId="0" pivotButton="0" quotePrefix="0" xfId="0"/>
    <xf numFmtId="0" fontId="1"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1" fillId="2" borderId="4" applyAlignment="1" pivotButton="0" quotePrefix="0" xfId="0">
      <alignment horizontal="center" vertical="center" wrapText="1"/>
    </xf>
    <xf numFmtId="0" fontId="1" fillId="2" borderId="5" applyAlignment="1" pivotButton="0" quotePrefix="0" xfId="0">
      <alignment horizontal="center" vertical="center" wrapText="1"/>
    </xf>
    <xf numFmtId="0" fontId="1" fillId="2" borderId="8" applyAlignment="1" pivotButton="0" quotePrefix="0" xfId="0">
      <alignment horizontal="center" vertical="center" wrapText="1"/>
    </xf>
    <xf numFmtId="0" fontId="1" fillId="2" borderId="10" applyAlignment="1" pivotButton="0" quotePrefix="0" xfId="0">
      <alignment horizontal="center" vertical="center" wrapText="1"/>
    </xf>
    <xf numFmtId="0" fontId="3" fillId="3" borderId="5" applyAlignment="1" pivotButton="0" quotePrefix="0" xfId="0">
      <alignment vertical="top" wrapText="1"/>
    </xf>
    <xf numFmtId="0" fontId="3" fillId="4" borderId="5" applyAlignment="1" pivotButton="0" quotePrefix="0" xfId="0">
      <alignment vertical="top" wrapText="1"/>
    </xf>
    <xf numFmtId="0" fontId="3" fillId="5" borderId="10" applyAlignment="1" pivotButton="0" quotePrefix="0" xfId="0">
      <alignment vertical="top" wrapText="1"/>
    </xf>
    <xf numFmtId="0" fontId="2" fillId="4" borderId="5" applyAlignment="1" pivotButton="0" quotePrefix="0" xfId="0">
      <alignment horizontal="center" vertical="center" wrapText="1"/>
    </xf>
    <xf numFmtId="0" fontId="4" fillId="6" borderId="5" applyAlignment="1" pivotButton="0" quotePrefix="0" xfId="0">
      <alignment horizontal="center" vertical="center" wrapText="1"/>
    </xf>
    <xf numFmtId="0" fontId="3" fillId="0" borderId="5" applyAlignment="1" pivotButton="0" quotePrefix="0" xfId="0">
      <alignment vertical="top" wrapText="1"/>
    </xf>
    <xf numFmtId="0" fontId="3" fillId="0" borderId="5" applyAlignment="1" pivotButton="0" quotePrefix="0" xfId="0">
      <alignment horizontal="left" vertical="center" wrapText="1"/>
    </xf>
    <xf numFmtId="0" fontId="8" fillId="3" borderId="6" applyAlignment="1" pivotButton="0" quotePrefix="0" xfId="0">
      <alignment vertical="top" wrapText="1"/>
    </xf>
    <xf numFmtId="0" fontId="8" fillId="4" borderId="6" applyAlignment="1" pivotButton="0" quotePrefix="0" xfId="0">
      <alignment vertical="top" wrapText="1"/>
    </xf>
    <xf numFmtId="0" fontId="8" fillId="5" borderId="9" applyAlignment="1" pivotButton="0" quotePrefix="0" xfId="0">
      <alignment vertical="top" wrapText="1"/>
    </xf>
    <xf numFmtId="0" fontId="5" fillId="7" borderId="0" applyAlignment="1" pivotButton="0" quotePrefix="0" xfId="0">
      <alignment horizontal="center" vertical="center" wrapText="1"/>
    </xf>
    <xf numFmtId="0" fontId="6" fillId="0" borderId="13" applyAlignment="1" pivotButton="0" quotePrefix="0" xfId="0">
      <alignment vertical="top" wrapText="1"/>
    </xf>
    <xf numFmtId="0" fontId="7" fillId="0" borderId="0" pivotButton="0" quotePrefix="0" xfId="0"/>
    <xf numFmtId="0" fontId="5" fillId="7" borderId="13" applyAlignment="1" pivotButton="0" quotePrefix="0" xfId="0">
      <alignment horizontal="center" vertical="center" wrapText="1"/>
    </xf>
    <xf numFmtId="0" fontId="5" fillId="7" borderId="5" applyAlignment="1" pivotButton="0" quotePrefix="0" xfId="0">
      <alignment horizontal="center" vertical="center"/>
    </xf>
    <xf numFmtId="0" fontId="10" fillId="0" borderId="13" applyAlignment="1" pivotButton="0" quotePrefix="0" xfId="0">
      <alignment vertical="top" wrapText="1"/>
    </xf>
    <xf numFmtId="0" fontId="9" fillId="0" borderId="13" applyAlignment="1" pivotButton="0" quotePrefix="0" xfId="0">
      <alignment vertical="top" wrapText="1"/>
    </xf>
    <xf numFmtId="0" fontId="2" fillId="5" borderId="10" applyAlignment="1" pivotButton="0" quotePrefix="0" xfId="0">
      <alignment horizontal="center" vertical="center" wrapText="1"/>
    </xf>
    <xf numFmtId="0" fontId="0" fillId="0" borderId="14" pivotButton="0" quotePrefix="0" xfId="0"/>
    <xf numFmtId="0" fontId="0" fillId="0" borderId="15" pivotButton="0" quotePrefix="0" xfId="0"/>
    <xf numFmtId="0" fontId="1" fillId="2" borderId="16" applyAlignment="1" pivotButton="0" quotePrefix="0" xfId="0">
      <alignment horizontal="center" vertical="center" wrapText="1"/>
    </xf>
    <xf numFmtId="0" fontId="1" fillId="2" borderId="17" applyAlignment="1" pivotButton="0" quotePrefix="0" xfId="0">
      <alignment horizontal="center" vertical="center" wrapText="1"/>
    </xf>
    <xf numFmtId="0" fontId="1" fillId="2" borderId="18" applyAlignment="1" pivotButton="0" quotePrefix="0" xfId="0">
      <alignment horizontal="center" vertical="center" wrapText="1"/>
    </xf>
    <xf numFmtId="0" fontId="3" fillId="3" borderId="2" applyAlignment="1" pivotButton="0" quotePrefix="0" xfId="0">
      <alignment vertical="top" wrapText="1"/>
    </xf>
    <xf numFmtId="0" fontId="8" fillId="3" borderId="3" applyAlignment="1" pivotButton="0" quotePrefix="0" xfId="0">
      <alignment vertical="top" wrapText="1"/>
    </xf>
    <xf numFmtId="0" fontId="0" fillId="0" borderId="19" applyAlignment="1" pivotButton="0" quotePrefix="0" xfId="0">
      <alignment vertical="center" wrapText="1"/>
    </xf>
    <xf numFmtId="0" fontId="10" fillId="0" borderId="13" applyAlignment="1" pivotButton="0" quotePrefix="0" xfId="0">
      <alignment vertical="top" wrapText="1"/>
    </xf>
    <xf numFmtId="0" fontId="0" fillId="0" borderId="14" pivotButton="0" quotePrefix="0" xfId="0"/>
    <xf numFmtId="0" fontId="0" fillId="0" borderId="15" pivotButton="0" quotePrefix="0" xfId="0"/>
    <xf numFmtId="0" fontId="2" fillId="3" borderId="2" applyAlignment="1" pivotButton="0" quotePrefix="0" xfId="0">
      <alignment horizontal="center" vertical="center" wrapText="1"/>
    </xf>
    <xf numFmtId="0" fontId="0" fillId="0" borderId="11" pivotButton="0" quotePrefix="0" xfId="0"/>
    <xf numFmtId="0" fontId="0" fillId="0" borderId="7" pivotButton="0" quotePrefix="0" xfId="0"/>
    <xf numFmtId="0" fontId="3" fillId="0" borderId="1" applyAlignment="1" pivotButton="0" quotePrefix="0" xfId="0">
      <alignment horizontal="left" vertical="center" wrapText="1"/>
    </xf>
    <xf numFmtId="0" fontId="0" fillId="0" borderId="12" pivotButton="0" quotePrefix="0" xfId="0"/>
    <xf numFmtId="0" fontId="11" fillId="8" borderId="5" applyAlignment="1" pivotButton="0" quotePrefix="0" xfId="0">
      <alignment horizontal="center" vertical="center"/>
    </xf>
    <xf numFmtId="0" fontId="3" fillId="0" borderId="5" applyAlignment="1" pivotButton="0" quotePrefix="0" xfId="0">
      <alignment horizontal="left" vertical="center" wrapText="1"/>
    </xf>
    <xf numFmtId="0" fontId="3" fillId="3" borderId="16" applyAlignment="1" pivotButton="0" quotePrefix="0" xfId="0">
      <alignment vertical="top" wrapText="1"/>
    </xf>
    <xf numFmtId="0" fontId="3" fillId="3" borderId="17" applyAlignment="1" pivotButton="0" quotePrefix="0" xfId="0">
      <alignment vertical="top" wrapText="1"/>
    </xf>
    <xf numFmtId="0" fontId="3" fillId="4" borderId="17" applyAlignment="1" pivotButton="0" quotePrefix="0" xfId="0">
      <alignment vertical="top" wrapText="1"/>
    </xf>
    <xf numFmtId="0" fontId="3" fillId="5" borderId="18" applyAlignment="1" pivotButton="0" quotePrefix="0" xfId="0">
      <alignment vertical="top" wrapText="1"/>
    </xf>
    <xf numFmtId="0" fontId="1" fillId="2" borderId="16" applyAlignment="1" pivotButton="0" quotePrefix="0" xfId="0">
      <alignment horizontal="center" vertical="center" wrapText="1"/>
    </xf>
    <xf numFmtId="0" fontId="1" fillId="2" borderId="20" applyAlignment="1" pivotButton="0" quotePrefix="0" xfId="0">
      <alignment horizontal="center" vertical="center" wrapText="1"/>
    </xf>
    <xf numFmtId="0" fontId="1" fillId="2" borderId="21" applyAlignment="1" pivotButton="0" quotePrefix="0" xfId="0">
      <alignment horizontal="center" vertical="center" wrapText="1"/>
    </xf>
    <xf numFmtId="0" fontId="2" fillId="7" borderId="5" applyAlignment="1" pivotButton="0" quotePrefix="0" xfId="0">
      <alignment horizontal="center" vertical="center"/>
    </xf>
    <xf numFmtId="0" fontId="0" fillId="0" borderId="20" pivotButton="0" quotePrefix="0" xfId="0"/>
    <xf numFmtId="0" fontId="0" fillId="0" borderId="21" pivotButton="0" quotePrefix="0" xfId="0"/>
    <xf numFmtId="0" fontId="6" fillId="3" borderId="16" applyAlignment="1" pivotButton="0" quotePrefix="0" xfId="0">
      <alignment vertical="top" wrapText="1"/>
    </xf>
    <xf numFmtId="0" fontId="0" fillId="0" borderId="24" pivotButton="0" quotePrefix="0" xfId="0"/>
    <xf numFmtId="0" fontId="5" fillId="5" borderId="10" applyAlignment="1" pivotButton="0" quotePrefix="0" xfId="0">
      <alignment horizontal="center" vertical="center" wrapText="1"/>
    </xf>
    <xf numFmtId="0" fontId="6" fillId="5" borderId="10" applyAlignment="1" pivotButton="0" quotePrefix="0" xfId="0">
      <alignment vertical="top" wrapText="1"/>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0" fontId="12" fillId="0" borderId="0" pivotButton="0" quotePrefix="0" xfId="0"/>
    <xf numFmtId="0" fontId="13" fillId="9" borderId="28" applyAlignment="1" pivotButton="0" quotePrefix="0" xfId="0">
      <alignment horizontal="center" wrapText="1"/>
    </xf>
    <xf numFmtId="0" fontId="0" fillId="0" borderId="28" pivotButton="0" quotePrefix="0" xfId="0"/>
    <xf numFmtId="0" fontId="0" fillId="0" borderId="28" applyAlignment="1" pivotButton="0" quotePrefix="0" xfId="0">
      <alignment horizontal="center"/>
    </xf>
    <xf numFmtId="9" fontId="0" fillId="0" borderId="28" applyAlignment="1" pivotButton="0" quotePrefix="0" xfId="0">
      <alignment horizontal="center"/>
    </xf>
    <xf numFmtId="0" fontId="0" fillId="0" borderId="28" applyAlignment="1" pivotButton="0" quotePrefix="0" xfId="0">
      <alignment horizontal="center" vertical="top" wrapText="1"/>
    </xf>
    <xf numFmtId="0" fontId="0" fillId="0" borderId="28" applyAlignment="1" pivotButton="0" quotePrefix="0" xfId="0">
      <alignment horizontal="left" vertical="top" wrapText="1"/>
    </xf>
    <xf numFmtId="0" fontId="13"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3"/>
  <sheetViews>
    <sheetView topLeftCell="B1" zoomScale="150" zoomScaleNormal="150" workbookViewId="0">
      <pane ySplit="3" topLeftCell="A4" activePane="bottomLeft" state="frozen"/>
      <selection pane="bottomLeft" activeCell="F11" activeCellId="1" sqref="H18 F11"/>
    </sheetView>
  </sheetViews>
  <sheetFormatPr baseColWidth="10" defaultColWidth="8.83203125" defaultRowHeight="15"/>
  <cols>
    <col width="45.1640625" customWidth="1" min="1" max="1"/>
    <col width="16" customWidth="1" min="2" max="2"/>
    <col width="62" customWidth="1" min="3" max="3"/>
    <col width="49.33203125" customWidth="1" min="4" max="4"/>
    <col width="48.33203125" customWidth="1" min="5" max="5"/>
    <col width="34" customWidth="1" min="6" max="6"/>
    <col width="22" customWidth="1" min="7" max="7"/>
  </cols>
  <sheetData>
    <row r="1" ht="16" customHeight="1">
      <c r="A1" s="1" t="inlineStr">
        <is>
          <t>Why?</t>
        </is>
      </c>
      <c r="B1" s="2" t="inlineStr">
        <is>
          <t>Who?</t>
        </is>
      </c>
      <c r="C1" s="2" t="inlineStr">
        <is>
          <t>How?</t>
        </is>
      </c>
      <c r="D1" s="51" t="n"/>
      <c r="E1" s="52" t="n"/>
      <c r="F1" s="47" t="inlineStr">
        <is>
          <t>What?</t>
        </is>
      </c>
      <c r="G1" s="41" t="inlineStr">
        <is>
          <t>DUDAS</t>
        </is>
      </c>
    </row>
    <row r="2" ht="16" customHeight="1">
      <c r="A2" s="3" t="inlineStr">
        <is>
          <t>¿Por qué?</t>
        </is>
      </c>
      <c r="B2" s="4" t="inlineStr">
        <is>
          <t>¿Quién?</t>
        </is>
      </c>
      <c r="C2" s="4" t="inlineStr">
        <is>
          <t>¿Cómo?</t>
        </is>
      </c>
      <c r="D2" s="28" t="inlineStr">
        <is>
          <t>Problema</t>
        </is>
      </c>
      <c r="E2" s="28" t="inlineStr">
        <is>
          <t>Beneficio</t>
        </is>
      </c>
      <c r="F2" s="28" t="inlineStr">
        <is>
          <t>¿Qué?</t>
        </is>
      </c>
      <c r="G2" s="37" t="n"/>
    </row>
    <row r="3" ht="17" customHeight="1" thickBot="1">
      <c r="A3" s="5" t="inlineStr">
        <is>
          <t>Objetivo</t>
        </is>
      </c>
      <c r="B3" s="6" t="inlineStr">
        <is>
          <t>Actores</t>
        </is>
      </c>
      <c r="C3" s="6" t="inlineStr">
        <is>
          <t>Impacto</t>
        </is>
      </c>
      <c r="D3" s="29" t="n"/>
      <c r="E3" s="29" t="n"/>
      <c r="F3" s="29" t="inlineStr">
        <is>
          <t>Entregable</t>
        </is>
      </c>
      <c r="G3" s="38" t="n"/>
    </row>
    <row r="4" ht="78" customHeight="1">
      <c r="A4" s="39" t="inlineStr">
        <is>
          <t>Para cualquier persona que necesita expresarse verbal o textualmente en un idioma que no conoce o domina, incluyendo no solo su mensaje sino también cualquier modismo o jerga cultural utilizada sin perder el significado o contexto del mismo, TalkLate es una aplicación móvil que está diseñada para ofrecer una experiencia de traducción que va más allá de la conversión literal de palabras, ya que considera el contexto, las emociones, los matices culturales y las intenciones detrás del lenguaje, permitiendo una comunicación más natural y significativa. A diferencia de Meta Seamless, Deepl Translator, TimeKettle, Lilt y Kudo AI, nuestro producto se distingue por su enfoque en la conexión profunda, permitiendo a los usuarios expresarse auténticamente en otro idioma, con foco inicial en ciertas regiones y acentos específicos del inglés y el español, y con una visión evolutiva para soportar con el paso del tiempo otros lenguajes con sus respectivos modismos y características, sin perder la espontaneidad ni la riqueza de su comunicación original.</t>
        </is>
      </c>
      <c r="B4" s="36" t="inlineStr">
        <is>
          <t>Cliente Traductor</t>
        </is>
      </c>
      <c r="C4" s="30" t="inlineStr">
        <is>
          <t>Traducir un mensaje de un idioma origen a un idioma destino en tiempo real, para interactuar fácil y rápidamente con personas que hablan otro idioma conservando el contexto cultural, el tono y los modismos.</t>
        </is>
      </c>
      <c r="D4" s="43" t="inlineStr">
        <is>
          <t>Si no se traduce un mensaje en tiempo real no se puede sostener una converación con otra persona cuando no se conoce el idioma destino</t>
        </is>
      </c>
      <c r="E4" s="43" t="inlineStr">
        <is>
          <t>Tener una converación fluida con una persona que habla otro idioma</t>
        </is>
      </c>
      <c r="F4" s="31" t="inlineStr">
        <is>
          <t>Traduccion de mensajes</t>
        </is>
      </c>
      <c r="G4" s="32" t="n"/>
    </row>
    <row r="5" ht="78" customHeight="1">
      <c r="A5" s="40" t="n"/>
      <c r="B5" s="37" t="n"/>
      <c r="C5" s="7" t="inlineStr">
        <is>
          <t>Comunicarse de inmediato sin tener que repetir la configuración de idioma en cada mensaje.</t>
        </is>
      </c>
      <c r="D5" s="53" t="inlineStr">
        <is>
          <t>Si el usuario tiene que volver a escoger los idiomas cada vez que envia un mensaje, pierde tiempo y la conversacion se vuelve lenta.</t>
        </is>
      </c>
      <c r="E5" s="53" t="inlineStr">
        <is>
          <t>Empezar a hablar de una vez, sin repetir la configuracion.</t>
        </is>
      </c>
      <c r="F5" s="14" t="inlineStr">
        <is>
          <t>Gestion de conversaciones</t>
        </is>
      </c>
      <c r="G5" s="32" t="n"/>
    </row>
    <row r="6" ht="78" customHeight="1">
      <c r="A6" s="40" t="n"/>
      <c r="B6" s="37" t="n"/>
      <c r="C6" s="7" t="inlineStr">
        <is>
          <t>Conversar de forma fluida y continua sin reconfigurar los idiomas ni los parámetros en cada mensaje.</t>
        </is>
      </c>
      <c r="D6" s="53" t="inlineStr">
        <is>
          <t>Si la conversacion no guarda la configuracion ni los mensajes juntos, cada mensaje queda suelto y se pierde el hilo de lo que se ha dicho.</t>
        </is>
      </c>
      <c r="E6" s="53" t="inlineStr">
        <is>
          <t>Conversar de corrido, con todo el hilo en un solo lugar.</t>
        </is>
      </c>
      <c r="F6" s="14" t="inlineStr">
        <is>
          <t>Gestion de conversaciones</t>
        </is>
      </c>
      <c r="G6" s="32" t="n"/>
    </row>
    <row r="7" ht="78" customHeight="1">
      <c r="A7" s="40" t="n"/>
      <c r="B7" s="37" t="n"/>
      <c r="C7" s="7" t="inlineStr">
        <is>
          <t>Aprender y ganar confianza en el otro idioma apoyándose en conversaciones pasadas.</t>
        </is>
      </c>
      <c r="D7" s="53" t="inlineStr">
        <is>
          <t>Si las conversaciones no se guardan, al cerrar la app se pierde lo que se dijo y el usuario no puede repasar las frases ni aprender de ellas.</t>
        </is>
      </c>
      <c r="E7" s="53" t="inlineStr">
        <is>
          <t>Volver a conversaciones pasadas para repasar y ganar confianza en el otro idioma.</t>
        </is>
      </c>
      <c r="F7" s="14" t="inlineStr">
        <is>
          <t>Gestion de conversaciones</t>
        </is>
      </c>
      <c r="G7" s="32" t="n"/>
    </row>
    <row r="8" ht="78" customHeight="1">
      <c r="A8" s="40" t="n"/>
      <c r="B8" s="37" t="n"/>
      <c r="C8" s="7" t="inlineStr">
        <is>
          <t>Acceder a la cuenta de forma segura, para que las conversaciones y la configuracion queden guardadas y solo el usuario pueda verlas.</t>
        </is>
      </c>
      <c r="D8" s="53" t="inlineStr">
        <is>
          <t>Si no hay una cuenta, las conversaciones no quedan ligadas a nadie: cualquiera con el celular las podria ver y, si el usuario cambia de celular, las pierde.</t>
        </is>
      </c>
      <c r="E8" s="53" t="inlineStr">
        <is>
          <t>Tener las conversaciones guardadas y que sean solo del usuario.</t>
        </is>
      </c>
      <c r="F8" s="14" t="inlineStr">
        <is>
          <t>Cuenta de usuario</t>
        </is>
      </c>
      <c r="G8" s="32" t="inlineStr">
        <is>
          <t>Impacto reescrito para que no suene a funcionalidad. Validar con Farid.</t>
        </is>
      </c>
    </row>
    <row r="9" ht="78" customHeight="1">
      <c r="A9" s="40" t="n"/>
      <c r="B9" s="37" t="n"/>
      <c r="C9" s="7" t="inlineStr">
        <is>
          <t>Sostener una conversación natural, hablando y escuchando como lo haría en su propio idioma.</t>
        </is>
      </c>
      <c r="D9" s="53" t="inlineStr">
        <is>
          <t>Si la traduccion solo sale en texto o con una voz que suena robotica, la otra persona no entiende bien lo que el usuario quiso decir y todo se siente forzado.</t>
        </is>
      </c>
      <c r="E9" s="53" t="inlineStr">
        <is>
          <t>Hablar y escuchar de forma natural, como en el propio idioma.</t>
        </is>
      </c>
      <c r="F9" s="14" t="inlineStr">
        <is>
          <t>Traduccion de mensajes</t>
        </is>
      </c>
      <c r="G9" s="32" t="n"/>
    </row>
    <row r="10" ht="78" customHeight="1">
      <c r="A10" s="40" t="n"/>
      <c r="B10" s="38" t="n"/>
      <c r="C10" s="7" t="inlineStr">
        <is>
          <t>Contribuir a mejorar la calidad del servicio señalando las traducciones que no fueron correctas o naturales.</t>
        </is>
      </c>
      <c r="D10" s="53" t="inlineStr">
        <is>
          <t>Si el usuario no puede avisar cuando una traduccion sale mal, el error se queda y se repite, y termina desconfiando de la app.</t>
        </is>
      </c>
      <c r="E10" s="53" t="inlineStr">
        <is>
          <t>Ayudar a que las traducciones mejoren con el uso.</t>
        </is>
      </c>
      <c r="F10" s="14" t="inlineStr">
        <is>
          <t>Reportes</t>
        </is>
      </c>
      <c r="G10" s="32" t="n"/>
    </row>
    <row r="11" ht="78" customHeight="1">
      <c r="A11" s="40" t="n"/>
      <c r="B11" s="10" t="inlineStr">
        <is>
          <t>Interlocutor</t>
        </is>
      </c>
      <c r="C11" s="8" t="inlineStr">
        <is>
          <t>Participar en la conversación en el propio idioma y en igualdad de condiciones, sin necesidad de conocer ni operar la aplicación.</t>
        </is>
      </c>
      <c r="D11" s="53" t="inlineStr">
        <is>
          <t>Si la otra persona tiene que instalar o aprender a manejar la app para contestar, la conversacion no arranca o ella queda en desventaja.</t>
        </is>
      </c>
      <c r="E11" s="53" t="inlineStr">
        <is>
          <t>Que la otra persona hable en su idioma sin tocar la app.</t>
        </is>
      </c>
      <c r="F11" s="15" t="inlineStr">
        <is>
          <t>Participacion del interlocutor</t>
        </is>
      </c>
      <c r="G11" s="32" t="n"/>
    </row>
    <row r="12" ht="78" customHeight="1" thickBot="1">
      <c r="A12" s="40" t="n"/>
      <c r="B12" s="24" t="inlineStr">
        <is>
          <t>Administrador</t>
        </is>
      </c>
      <c r="C12" s="9" t="inlineStr">
        <is>
          <t>Gestionar la configuración de la aplicación a nivel de idiomas o regiones</t>
        </is>
      </c>
      <c r="D12" s="53" t="inlineStr">
        <is>
          <t>Si no se pueden agregar ni ajustar idiomas y regiones, la app se queda con lo que trajo al inicio y no le sirve a mas gente.</t>
        </is>
      </c>
      <c r="E12" s="53" t="inlineStr">
        <is>
          <t>Poder crecer a mas idiomas y regiones.</t>
        </is>
      </c>
      <c r="F12" s="16" t="inlineStr">
        <is>
          <t>Administracion de idiomas y regiones</t>
        </is>
      </c>
      <c r="G12" s="32" t="inlineStr">
        <is>
          <t>Puede agregar valor pero esto lo hace un administrador?</t>
        </is>
      </c>
    </row>
    <row r="13" ht="78" customHeight="1">
      <c r="A13" s="54" t="n"/>
      <c r="B13" s="55" t="inlineStr">
        <is>
          <t>Administrador</t>
        </is>
      </c>
      <c r="C13" s="56" t="inlineStr">
        <is>
          <t>Revisar los reportes de mala traduccion que envian los clientes, para decidir que mejoras priorizar en el servicio.</t>
        </is>
      </c>
      <c r="D13" s="53" t="inlineStr">
        <is>
          <t>Si nadie revisa los reportes de mala traduccion, los errores no se corrigen y no se sabe que mejorar primero.</t>
        </is>
      </c>
      <c r="E13" s="53" t="inlineStr">
        <is>
          <t>Mejorar primero lo que mas afecta a los usuarios.</t>
        </is>
      </c>
      <c r="F13" s="16" t="inlineStr">
        <is>
          <t>Reportes</t>
        </is>
      </c>
      <c r="G13" s="32" t="n"/>
    </row>
    <row r="14" ht="19" customHeight="1"/>
    <row r="17" ht="16" customHeight="1"/>
    <row r="18" ht="144" customHeight="1"/>
    <row r="19" ht="128" customHeight="1"/>
    <row r="20" ht="128" customHeight="1"/>
    <row r="21" ht="80" customHeight="1"/>
    <row r="22" ht="112" customHeight="1"/>
    <row r="23" ht="176" customHeight="1"/>
    <row r="24" ht="128" customHeight="1"/>
    <row r="25" ht="80" customHeight="1"/>
    <row r="26" ht="144" customHeight="1"/>
    <row r="27" ht="128" customHeight="1"/>
  </sheetData>
  <mergeCells count="4">
    <mergeCell ref="A4:A13"/>
    <mergeCell ref="C1:E1"/>
    <mergeCell ref="B4:B10"/>
    <mergeCell ref="G1:G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9"/>
  <sheetViews>
    <sheetView showGridLines="0" tabSelected="1" zoomScale="200" zoomScaleNormal="200" workbookViewId="0">
      <pane xSplit="2" ySplit="1" topLeftCell="C2" activePane="bottomRight" state="frozen"/>
      <selection pane="topRight"/>
      <selection pane="bottomLeft"/>
      <selection pane="bottomRight" activeCell="C2" sqref="C2"/>
    </sheetView>
  </sheetViews>
  <sheetFormatPr baseColWidth="10" defaultRowHeight="15"/>
  <cols>
    <col width="40" bestFit="1" customWidth="1" min="1" max="1"/>
    <col width="40" customWidth="1" min="2" max="2"/>
    <col width="46" bestFit="1" customWidth="1" min="3" max="3"/>
    <col width="14.33203125" bestFit="1" customWidth="1" min="4" max="4"/>
    <col width="22.1640625" bestFit="1" customWidth="1" min="5" max="5"/>
    <col width="162.1640625" bestFit="1" customWidth="1" min="6" max="6"/>
    <col width="14" customWidth="1" min="7" max="7"/>
    <col width="9" customWidth="1" min="8" max="8"/>
    <col width="9" customWidth="1" min="9" max="9"/>
    <col width="9" customWidth="1" min="10" max="10"/>
    <col width="70" customWidth="1" min="11" max="11"/>
  </cols>
  <sheetData>
    <row r="1">
      <c r="A1" s="21" t="inlineStr">
        <is>
          <t>Entregable</t>
        </is>
      </c>
      <c r="B1" s="50" t="inlineStr">
        <is>
          <t>IDENTIFICADOR HISTORIA USUARIO</t>
        </is>
      </c>
      <c r="C1" s="50" t="inlineStr">
        <is>
          <t>HISTORIA DE USUARIO</t>
        </is>
      </c>
      <c r="D1" t="inlineStr">
        <is>
          <t>Como</t>
        </is>
      </c>
      <c r="E1" t="inlineStr">
        <is>
          <t>Necesito poder</t>
        </is>
      </c>
      <c r="F1" t="inlineStr">
        <is>
          <t>Para</t>
        </is>
      </c>
      <c r="G1" t="inlineStr">
        <is>
          <t>Prioridad (valor)</t>
        </is>
      </c>
      <c r="H1" t="inlineStr">
        <is>
          <t>Talla</t>
        </is>
      </c>
      <c r="I1" t="inlineStr">
        <is>
          <t>Horas</t>
        </is>
      </c>
      <c r="J1" t="inlineStr">
        <is>
          <t>Sprint</t>
        </is>
      </c>
      <c r="K1" t="inlineStr">
        <is>
          <t>Por que genera valor</t>
        </is>
      </c>
    </row>
    <row r="2" ht="16" customHeight="1">
      <c r="A2" s="33" t="inlineStr">
        <is>
          <t>Traduccion de mensajes</t>
        </is>
      </c>
      <c r="B2" s="33" t="inlineStr">
        <is>
          <t>HU0001</t>
        </is>
      </c>
      <c r="C2" s="23" t="inlineStr">
        <is>
          <t>Ingresar mi mensaje hablando</t>
        </is>
      </c>
      <c r="D2" t="inlineStr">
        <is>
          <t>Cliente Traductor</t>
        </is>
      </c>
      <c r="E2">
        <f>C2</f>
        <v/>
      </c>
      <c r="F2">
        <f>'Mapa de Impacto'!C4</f>
        <v/>
      </c>
      <c r="G2" s="57" t="n">
        <v>3</v>
      </c>
      <c r="H2" s="57" t="inlineStr">
        <is>
          <t>L</t>
        </is>
      </c>
      <c r="I2" s="57">
        <f>VLOOKUP(H2,Planificacion!$A$4:$B$9,2,FALSE)</f>
        <v/>
      </c>
      <c r="J2" s="57" t="n">
        <v>1</v>
      </c>
      <c r="K2" s="58" t="inlineStr">
        <is>
          <t>Es la forma natural de usar el producto: hablar y ser entendido sin escribir.</t>
        </is>
      </c>
    </row>
    <row r="3" ht="16" customHeight="1">
      <c r="A3" s="34" t="n"/>
      <c r="B3" s="33" t="inlineStr">
        <is>
          <t>HU0002</t>
        </is>
      </c>
      <c r="C3" s="23" t="inlineStr">
        <is>
          <t>Ingresar mi mensaje escribiendo</t>
        </is>
      </c>
      <c r="D3" t="inlineStr">
        <is>
          <t>Cliente Traductor</t>
        </is>
      </c>
      <c r="E3">
        <f>C3</f>
        <v/>
      </c>
      <c r="F3">
        <f>'Mapa de Impacto'!C4</f>
        <v/>
      </c>
      <c r="G3" s="57" t="n">
        <v>2</v>
      </c>
      <c r="H3" s="57" t="inlineStr">
        <is>
          <t>S</t>
        </is>
      </c>
      <c r="I3" s="57">
        <f>VLOOKUP(H3,Planificacion!$A$4:$B$9,2,FALSE)</f>
        <v/>
      </c>
      <c r="J3" s="57" t="n">
        <v>1</v>
      </c>
      <c r="K3" s="58" t="inlineStr">
        <is>
          <t>Es la entrada mas simple y la que permite usar la traduccion desde el primer dia.</t>
        </is>
      </c>
    </row>
    <row r="4" ht="16" customHeight="1">
      <c r="A4" s="34" t="n"/>
      <c r="B4" s="33" t="inlineStr">
        <is>
          <t>HU0003</t>
        </is>
      </c>
      <c r="C4" s="23" t="inlineStr">
        <is>
          <t>Traducir mi mensaje al idioma destino en tiempo real</t>
        </is>
      </c>
      <c r="D4" t="inlineStr">
        <is>
          <t>Cliente Traductor</t>
        </is>
      </c>
      <c r="E4">
        <f>C4</f>
        <v/>
      </c>
      <c r="F4">
        <f>'Mapa de Impacto'!C4</f>
        <v/>
      </c>
      <c r="G4" s="57" t="n">
        <v>1</v>
      </c>
      <c r="H4" s="57" t="inlineStr">
        <is>
          <t>XXL</t>
        </is>
      </c>
      <c r="I4" s="57">
        <f>VLOOKUP(H4,Planificacion!$A$4:$B$9,2,FALSE)</f>
        <v/>
      </c>
      <c r="J4" s="57" t="n">
        <v>1</v>
      </c>
      <c r="K4" s="58" t="inlineStr">
        <is>
          <t>Es el corazon del producto: sin esto TalkLate no entrega su valor diferencial.</t>
        </is>
      </c>
    </row>
    <row r="5" ht="16" customHeight="1">
      <c r="A5" s="34" t="n"/>
      <c r="B5" s="33" t="inlineStr">
        <is>
          <t>HU0004</t>
        </is>
      </c>
      <c r="C5" s="23" t="inlineStr">
        <is>
          <t>Escuchar el mensaje traducido</t>
        </is>
      </c>
      <c r="D5" t="inlineStr">
        <is>
          <t>Cliente Traductor</t>
        </is>
      </c>
      <c r="E5">
        <f>C5</f>
        <v/>
      </c>
      <c r="F5">
        <f>'Mapa de Impacto'!C9</f>
        <v/>
      </c>
      <c r="G5" s="57" t="n">
        <v>4</v>
      </c>
      <c r="H5" s="57" t="inlineStr">
        <is>
          <t>M</t>
        </is>
      </c>
      <c r="I5" s="57">
        <f>VLOOKUP(H5,Planificacion!$A$4:$B$9,2,FALSE)</f>
        <v/>
      </c>
      <c r="J5" s="57" t="n">
        <v>1</v>
      </c>
      <c r="K5" s="58" t="inlineStr">
        <is>
          <t>Permite que la otra persona reciba el mensaje de forma comoda y natural.</t>
        </is>
      </c>
    </row>
    <row r="6" ht="16" customHeight="1">
      <c r="A6" s="35" t="n"/>
      <c r="B6" s="33" t="inlineStr">
        <is>
          <t>HU0005</t>
        </is>
      </c>
      <c r="C6" s="23" t="inlineStr">
        <is>
          <t>Recibir la traduccion por el mismo canal que use</t>
        </is>
      </c>
      <c r="D6" t="inlineStr">
        <is>
          <t>Cliente Traductor</t>
        </is>
      </c>
      <c r="E6">
        <f>C6</f>
        <v/>
      </c>
      <c r="F6">
        <f>'Mapa de Impacto'!C9</f>
        <v/>
      </c>
      <c r="G6" s="57" t="n">
        <v>5</v>
      </c>
      <c r="H6" s="57" t="inlineStr">
        <is>
          <t>S</t>
        </is>
      </c>
      <c r="I6" s="57">
        <f>VLOOKUP(H6,Planificacion!$A$4:$B$9,2,FALSE)</f>
        <v/>
      </c>
      <c r="J6" s="57" t="n">
        <v>1</v>
      </c>
      <c r="K6" s="58" t="inlineStr">
        <is>
          <t>Mantiene la experiencia coherente: si hablo, escucho; si escribo, leo.</t>
        </is>
      </c>
    </row>
    <row r="7" ht="16" customHeight="1">
      <c r="A7" s="33" t="inlineStr">
        <is>
          <t>Gestion de conversaciones</t>
        </is>
      </c>
      <c r="B7" s="33" t="inlineStr">
        <is>
          <t>HU0006</t>
        </is>
      </c>
      <c r="C7" s="23" t="inlineStr">
        <is>
          <t>Seleccionar el idioma y la region destino</t>
        </is>
      </c>
      <c r="D7" t="inlineStr">
        <is>
          <t>Cliente Traductor</t>
        </is>
      </c>
      <c r="E7">
        <f>C7</f>
        <v/>
      </c>
      <c r="F7">
        <f>'Mapa de Impacto'!C5</f>
        <v/>
      </c>
      <c r="G7" s="57" t="n">
        <v>6</v>
      </c>
      <c r="H7" s="57" t="inlineStr">
        <is>
          <t>M</t>
        </is>
      </c>
      <c r="I7" s="57">
        <f>VLOOKUP(H7,Planificacion!$A$4:$B$9,2,FALSE)</f>
        <v/>
      </c>
      <c r="J7" s="57" t="n">
        <v>1</v>
      </c>
      <c r="K7" s="58" t="inlineStr">
        <is>
          <t>Define a que persona y lugar se adapta el mensaje: de ahi sale el matiz cultural.</t>
        </is>
      </c>
    </row>
    <row r="8" ht="16" customHeight="1">
      <c r="A8" s="34" t="n"/>
      <c r="B8" s="33" t="inlineStr">
        <is>
          <t>HU0007</t>
        </is>
      </c>
      <c r="C8" s="23" t="inlineStr">
        <is>
          <t>Reconocer el idioma origen</t>
        </is>
      </c>
      <c r="D8" t="inlineStr">
        <is>
          <t>Cliente Traductor</t>
        </is>
      </c>
      <c r="E8">
        <f>C8</f>
        <v/>
      </c>
      <c r="F8">
        <f>'Mapa de Impacto'!C5</f>
        <v/>
      </c>
      <c r="G8" s="57" t="n">
        <v>7</v>
      </c>
      <c r="H8" s="57" t="inlineStr">
        <is>
          <t>L</t>
        </is>
      </c>
      <c r="I8" s="57">
        <f>VLOOKUP(H8,Planificacion!$A$4:$B$9,2,FALSE)</f>
        <v/>
      </c>
      <c r="J8" s="57" t="n">
        <v>2</v>
      </c>
      <c r="K8" s="58" t="inlineStr">
        <is>
          <t>Evita configurar a mano el idioma cada vez y acelera la conversacion.</t>
        </is>
      </c>
    </row>
    <row r="9" ht="16" customHeight="1">
      <c r="A9" s="34" t="n"/>
      <c r="B9" s="33" t="inlineStr">
        <is>
          <t>HU0008</t>
        </is>
      </c>
      <c r="C9" s="23" t="inlineStr">
        <is>
          <t>Crear una conversacion</t>
        </is>
      </c>
      <c r="D9" t="inlineStr">
        <is>
          <t>Cliente Traductor</t>
        </is>
      </c>
      <c r="E9">
        <f>C9</f>
        <v/>
      </c>
      <c r="F9">
        <f>'Mapa de Impacto'!C6</f>
        <v/>
      </c>
      <c r="G9" s="57" t="n">
        <v>8</v>
      </c>
      <c r="H9" s="57" t="inlineStr">
        <is>
          <t>S</t>
        </is>
      </c>
      <c r="I9" s="57">
        <f>VLOOKUP(H9,Planificacion!$A$4:$B$9,2,FALSE)</f>
        <v/>
      </c>
      <c r="J9" s="57" t="n">
        <v>2</v>
      </c>
      <c r="K9" s="58" t="inlineStr">
        <is>
          <t>Agrupa los mensajes de una misma charla para no perder el contexto.</t>
        </is>
      </c>
    </row>
    <row r="10" ht="16" customHeight="1">
      <c r="A10" s="34" t="n"/>
      <c r="B10" s="33" t="inlineStr">
        <is>
          <t>HU0009</t>
        </is>
      </c>
      <c r="C10" s="23" t="inlineStr">
        <is>
          <t>Configurar los parametros una sola vez</t>
        </is>
      </c>
      <c r="D10" t="inlineStr">
        <is>
          <t>Cliente Traductor</t>
        </is>
      </c>
      <c r="E10">
        <f>C10</f>
        <v/>
      </c>
      <c r="F10">
        <f>'Mapa de Impacto'!C6</f>
        <v/>
      </c>
      <c r="G10" s="57" t="n">
        <v>9</v>
      </c>
      <c r="H10" s="57" t="inlineStr">
        <is>
          <t>S</t>
        </is>
      </c>
      <c r="I10" s="57">
        <f>VLOOKUP(H10,Planificacion!$A$4:$B$9,2,FALSE)</f>
        <v/>
      </c>
      <c r="J10" s="57" t="n">
        <v>2</v>
      </c>
      <c r="K10" s="58" t="inlineStr">
        <is>
          <t>Ahorra repetir la configuracion en cada mensaje.</t>
        </is>
      </c>
    </row>
    <row r="11" ht="16" customHeight="1">
      <c r="A11" s="34" t="n"/>
      <c r="B11" s="33" t="inlineStr">
        <is>
          <t>HU0010</t>
        </is>
      </c>
      <c r="C11" s="23" t="inlineStr">
        <is>
          <t>Mantener el hilo continuo</t>
        </is>
      </c>
      <c r="D11" t="inlineStr">
        <is>
          <t>Cliente Traductor</t>
        </is>
      </c>
      <c r="E11">
        <f>C11</f>
        <v/>
      </c>
      <c r="F11">
        <f>'Mapa de Impacto'!C6</f>
        <v/>
      </c>
      <c r="G11" s="57" t="n">
        <v>10</v>
      </c>
      <c r="H11" s="57" t="inlineStr">
        <is>
          <t>M</t>
        </is>
      </c>
      <c r="I11" s="57">
        <f>VLOOKUP(H11,Planificacion!$A$4:$B$9,2,FALSE)</f>
        <v/>
      </c>
      <c r="J11" s="57" t="n">
        <v>2</v>
      </c>
      <c r="K11" s="58" t="inlineStr">
        <is>
          <t>Hace posible un dialogo fluido, que es lo que busca el usuario.</t>
        </is>
      </c>
    </row>
    <row r="12" ht="16" customHeight="1">
      <c r="A12" s="34" t="n"/>
      <c r="B12" s="33" t="inlineStr">
        <is>
          <t>HU0011</t>
        </is>
      </c>
      <c r="C12" s="23" t="inlineStr">
        <is>
          <t>Consultar mi historial</t>
        </is>
      </c>
      <c r="D12" t="inlineStr">
        <is>
          <t>Cliente Traductor</t>
        </is>
      </c>
      <c r="E12">
        <f>C12</f>
        <v/>
      </c>
      <c r="F12">
        <f>'Mapa de Impacto'!C7</f>
        <v/>
      </c>
      <c r="G12" s="57" t="n">
        <v>14</v>
      </c>
      <c r="H12" s="57" t="inlineStr">
        <is>
          <t>M</t>
        </is>
      </c>
      <c r="I12" s="57">
        <f>VLOOKUP(H12,Planificacion!$A$4:$B$9,2,FALSE)</f>
        <v/>
      </c>
      <c r="J12" s="57" t="n">
        <v>2</v>
      </c>
      <c r="K12" s="58" t="inlineStr">
        <is>
          <t>Permite repasar y aprender de conversaciones pasadas.</t>
        </is>
      </c>
    </row>
    <row r="13" ht="16" customHeight="1">
      <c r="A13" s="34" t="n"/>
      <c r="B13" s="33" t="inlineStr">
        <is>
          <t>HU0012</t>
        </is>
      </c>
      <c r="C13" s="23" t="inlineStr">
        <is>
          <t>Abrir una conversacion anterior</t>
        </is>
      </c>
      <c r="D13" t="inlineStr">
        <is>
          <t>Cliente Traductor</t>
        </is>
      </c>
      <c r="E13">
        <f>C13</f>
        <v/>
      </c>
      <c r="F13">
        <f>'Mapa de Impacto'!C7</f>
        <v/>
      </c>
      <c r="G13" s="57" t="n">
        <v>15</v>
      </c>
      <c r="H13" s="57" t="inlineStr">
        <is>
          <t>S</t>
        </is>
      </c>
      <c r="I13" s="57">
        <f>VLOOKUP(H13,Planificacion!$A$4:$B$9,2,FALSE)</f>
        <v/>
      </c>
      <c r="J13" s="57" t="n">
        <v>2</v>
      </c>
      <c r="K13" s="58" t="inlineStr">
        <is>
          <t>Permite retomar una conversacion donde se dejo.</t>
        </is>
      </c>
    </row>
    <row r="14" ht="16" customHeight="1">
      <c r="A14" s="34" t="n"/>
      <c r="B14" s="33" t="inlineStr">
        <is>
          <t>HU0013</t>
        </is>
      </c>
      <c r="C14" s="23" t="inlineStr">
        <is>
          <t>Renombrar una conversacion</t>
        </is>
      </c>
      <c r="D14" t="inlineStr">
        <is>
          <t>Cliente Traductor</t>
        </is>
      </c>
      <c r="E14">
        <f>C14</f>
        <v/>
      </c>
      <c r="F14">
        <f>'Mapa de Impacto'!C7</f>
        <v/>
      </c>
      <c r="G14" s="57" t="n">
        <v>19</v>
      </c>
      <c r="H14" s="57" t="inlineStr">
        <is>
          <t>XS</t>
        </is>
      </c>
      <c r="I14" s="57">
        <f>VLOOKUP(H14,Planificacion!$A$4:$B$9,2,FALSE)</f>
        <v/>
      </c>
      <c r="J14" s="57" t="n">
        <v>2</v>
      </c>
      <c r="K14" s="58" t="inlineStr">
        <is>
          <t>Ayuda a ubicar conversaciones, pero no cambia el valor central.</t>
        </is>
      </c>
    </row>
    <row r="15" ht="16" customHeight="1">
      <c r="A15" s="35" t="n"/>
      <c r="B15" s="33" t="inlineStr">
        <is>
          <t>HU0014</t>
        </is>
      </c>
      <c r="C15" s="23" t="inlineStr">
        <is>
          <t>Eliminar una conversacion</t>
        </is>
      </c>
      <c r="D15" t="inlineStr">
        <is>
          <t>Cliente Traductor</t>
        </is>
      </c>
      <c r="E15">
        <f>C15</f>
        <v/>
      </c>
      <c r="F15">
        <f>'Mapa de Impacto'!C7</f>
        <v/>
      </c>
      <c r="G15" s="57" t="n">
        <v>20</v>
      </c>
      <c r="H15" s="57" t="inlineStr">
        <is>
          <t>S</t>
        </is>
      </c>
      <c r="I15" s="57">
        <f>VLOOKUP(H15,Planificacion!$A$4:$B$9,2,FALSE)</f>
        <v/>
      </c>
      <c r="J15" s="57" t="n">
        <v>3</v>
      </c>
      <c r="K15" s="58" t="inlineStr">
        <is>
          <t>Da control sobre los datos propios; es de apoyo.</t>
        </is>
      </c>
    </row>
    <row r="16" ht="16" customHeight="1">
      <c r="A16" s="33" t="inlineStr">
        <is>
          <t>Cuenta de usuario</t>
        </is>
      </c>
      <c r="B16" s="33" t="inlineStr">
        <is>
          <t>HU0015</t>
        </is>
      </c>
      <c r="C16" s="23" t="inlineStr">
        <is>
          <t>Registrarme en la aplicacion</t>
        </is>
      </c>
      <c r="D16" t="inlineStr">
        <is>
          <t>Cliente Traductor</t>
        </is>
      </c>
      <c r="E16">
        <f>C16</f>
        <v/>
      </c>
      <c r="F16">
        <f>'Mapa de Impacto'!C8</f>
        <v/>
      </c>
      <c r="G16" s="57" t="n">
        <v>16</v>
      </c>
      <c r="H16" s="57" t="inlineStr">
        <is>
          <t>L</t>
        </is>
      </c>
      <c r="I16" s="57">
        <f>VLOOKUP(H16,Planificacion!$A$4:$B$9,2,FALSE)</f>
        <v/>
      </c>
      <c r="J16" s="57" t="n">
        <v>3</v>
      </c>
      <c r="K16" s="58" t="inlineStr">
        <is>
          <t>Guarda las conversaciones del usuario y protege sus datos; el valor central no depende de esto.</t>
        </is>
      </c>
    </row>
    <row r="17" ht="16" customHeight="1">
      <c r="A17" s="34" t="n"/>
      <c r="B17" s="33" t="inlineStr">
        <is>
          <t>HU0016</t>
        </is>
      </c>
      <c r="C17" s="23" t="inlineStr">
        <is>
          <t>Iniciar sesion</t>
        </is>
      </c>
      <c r="D17" t="inlineStr">
        <is>
          <t>Cliente Traductor</t>
        </is>
      </c>
      <c r="E17">
        <f>C17</f>
        <v/>
      </c>
      <c r="F17">
        <f>'Mapa de Impacto'!C8</f>
        <v/>
      </c>
      <c r="G17" s="57" t="n">
        <v>17</v>
      </c>
      <c r="H17" s="57" t="inlineStr">
        <is>
          <t>M</t>
        </is>
      </c>
      <c r="I17" s="57">
        <f>VLOOKUP(H17,Planificacion!$A$4:$B$9,2,FALSE)</f>
        <v/>
      </c>
      <c r="J17" s="57" t="n">
        <v>3</v>
      </c>
      <c r="K17" s="58" t="inlineStr">
        <is>
          <t>Da acceso seguro a lo guardado.</t>
        </is>
      </c>
    </row>
    <row r="18" ht="16" customHeight="1">
      <c r="A18" s="34" t="n"/>
      <c r="B18" s="33" t="inlineStr">
        <is>
          <t>HU0017</t>
        </is>
      </c>
      <c r="C18" s="23" t="inlineStr">
        <is>
          <t>Recuperar mi contrasena</t>
        </is>
      </c>
      <c r="D18" t="inlineStr">
        <is>
          <t>Cliente Traductor</t>
        </is>
      </c>
      <c r="E18">
        <f>C18</f>
        <v/>
      </c>
      <c r="F18">
        <f>'Mapa de Impacto'!C8</f>
        <v/>
      </c>
      <c r="G18" s="57" t="n">
        <v>21</v>
      </c>
      <c r="H18" s="57" t="inlineStr">
        <is>
          <t>L</t>
        </is>
      </c>
      <c r="I18" s="57">
        <f>VLOOKUP(H18,Planificacion!$A$4:$B$9,2,FALSE)</f>
        <v/>
      </c>
      <c r="J18" s="57" t="n">
        <v>3</v>
      </c>
      <c r="K18" s="58" t="inlineStr">
        <is>
          <t>Evita perder la cuenta; es de apoyo.</t>
        </is>
      </c>
    </row>
    <row r="19" ht="16" customHeight="1">
      <c r="A19" s="35" t="n"/>
      <c r="B19" s="33" t="inlineStr">
        <is>
          <t>HU0018</t>
        </is>
      </c>
      <c r="C19" s="23" t="inlineStr">
        <is>
          <t>Cerrar sesion</t>
        </is>
      </c>
      <c r="D19" t="inlineStr">
        <is>
          <t>Cliente Traductor</t>
        </is>
      </c>
      <c r="E19">
        <f>C19</f>
        <v/>
      </c>
      <c r="F19">
        <f>'Mapa de Impacto'!C8</f>
        <v/>
      </c>
      <c r="G19" s="57" t="n">
        <v>22</v>
      </c>
      <c r="H19" s="57" t="inlineStr">
        <is>
          <t>XS</t>
        </is>
      </c>
      <c r="I19" s="57">
        <f>VLOOKUP(H19,Planificacion!$A$4:$B$9,2,FALSE)</f>
        <v/>
      </c>
      <c r="J19" s="57" t="n">
        <v>2</v>
      </c>
      <c r="K19" s="58" t="inlineStr">
        <is>
          <t>Protege la cuenta en un dispositivo compartido; es de apoyo.</t>
        </is>
      </c>
    </row>
    <row r="20" ht="16" customHeight="1">
      <c r="A20" s="33" t="inlineStr">
        <is>
          <t>Participacion del interlocutor</t>
        </is>
      </c>
      <c r="B20" s="33" t="inlineStr">
        <is>
          <t>HU0019</t>
        </is>
      </c>
      <c r="C20" s="23" t="inlineStr">
        <is>
          <t>Recibir el mensaje traducido</t>
        </is>
      </c>
      <c r="D20" t="inlineStr">
        <is>
          <t>Interlocutor</t>
        </is>
      </c>
      <c r="E20">
        <f>C20</f>
        <v/>
      </c>
      <c r="F20">
        <f>'Mapa de Impacto'!C11</f>
        <v/>
      </c>
      <c r="G20" s="57" t="n">
        <v>11</v>
      </c>
      <c r="H20" s="57" t="inlineStr">
        <is>
          <t>S</t>
        </is>
      </c>
      <c r="I20" s="57">
        <f>VLOOKUP(H20,Planificacion!$A$4:$B$9,2,FALSE)</f>
        <v/>
      </c>
      <c r="J20" s="57" t="n">
        <v>2</v>
      </c>
      <c r="K20" s="58" t="inlineStr">
        <is>
          <t>Hace que la otra persona participe sin instalar ni operar la app.</t>
        </is>
      </c>
    </row>
    <row r="21" ht="16" customHeight="1">
      <c r="A21" s="35" t="n"/>
      <c r="B21" s="33" t="inlineStr">
        <is>
          <t>HU0020</t>
        </is>
      </c>
      <c r="C21" s="23" t="inlineStr">
        <is>
          <t>Responder en mi idioma</t>
        </is>
      </c>
      <c r="D21" t="inlineStr">
        <is>
          <t>Interlocutor</t>
        </is>
      </c>
      <c r="E21">
        <f>C21</f>
        <v/>
      </c>
      <c r="F21">
        <f>'Mapa de Impacto'!C11</f>
        <v/>
      </c>
      <c r="G21" s="57" t="n">
        <v>12</v>
      </c>
      <c r="H21" s="57" t="inlineStr">
        <is>
          <t>M</t>
        </is>
      </c>
      <c r="I21" s="57">
        <f>VLOOKUP(H21,Planificacion!$A$4:$B$9,2,FALSE)</f>
        <v/>
      </c>
      <c r="J21" s="57" t="n">
        <v>2</v>
      </c>
      <c r="K21" s="58" t="inlineStr">
        <is>
          <t>Cierra el dialogo en ambos sentidos.</t>
        </is>
      </c>
    </row>
    <row r="22" ht="16" customHeight="1">
      <c r="A22" s="33" t="inlineStr">
        <is>
          <t>Reportes</t>
        </is>
      </c>
      <c r="B22" s="33" t="inlineStr">
        <is>
          <t>HU0021</t>
        </is>
      </c>
      <c r="C22" s="23" t="inlineStr">
        <is>
          <t>Reportar una mala traduccion</t>
        </is>
      </c>
      <c r="D22" t="inlineStr">
        <is>
          <t>Cliente Traductor</t>
        </is>
      </c>
      <c r="E22">
        <f>C22</f>
        <v/>
      </c>
      <c r="F22">
        <f>'Mapa de Impacto'!C10</f>
        <v/>
      </c>
      <c r="G22" s="57" t="n">
        <v>18</v>
      </c>
      <c r="H22" s="57" t="inlineStr">
        <is>
          <t>M</t>
        </is>
      </c>
      <c r="I22" s="57">
        <f>VLOOKUP(H22,Planificacion!$A$4:$B$9,2,FALSE)</f>
        <v/>
      </c>
      <c r="J22" s="57" t="n">
        <v>3</v>
      </c>
      <c r="K22" s="58" t="inlineStr">
        <is>
          <t>Alimenta la mejora de calidad con casos reales.</t>
        </is>
      </c>
    </row>
    <row r="23" ht="16" customHeight="1">
      <c r="A23" s="35" t="n"/>
      <c r="B23" s="33" t="inlineStr">
        <is>
          <t>HU0022</t>
        </is>
      </c>
      <c r="C23" s="23" t="inlineStr">
        <is>
          <t>Revisar los reportes de mala traduccion</t>
        </is>
      </c>
      <c r="D23" t="inlineStr">
        <is>
          <t>Administrador</t>
        </is>
      </c>
      <c r="E23">
        <f>C23</f>
        <v/>
      </c>
      <c r="F23">
        <f>'Mapa de Impacto'!C13</f>
        <v/>
      </c>
      <c r="G23" s="57" t="n">
        <v>23</v>
      </c>
      <c r="H23" s="57" t="inlineStr">
        <is>
          <t>M</t>
        </is>
      </c>
      <c r="I23" s="57">
        <f>VLOOKUP(H23,Planificacion!$A$4:$B$9,2,FALSE)</f>
        <v/>
      </c>
      <c r="J23" s="57" t="n">
        <v>3</v>
      </c>
      <c r="K23" s="58" t="inlineStr">
        <is>
          <t>Permite priorizar que mejorar primero.</t>
        </is>
      </c>
    </row>
    <row r="24">
      <c r="A24" s="33" t="inlineStr">
        <is>
          <t>Administracion de idiomas y regiones</t>
        </is>
      </c>
      <c r="B24" s="33" t="inlineStr">
        <is>
          <t>HU0023</t>
        </is>
      </c>
      <c r="C24" s="23" t="inlineStr">
        <is>
          <t>Consultar los idiomas disponibles</t>
        </is>
      </c>
      <c r="D24" t="inlineStr">
        <is>
          <t>Cliente Traductor</t>
        </is>
      </c>
      <c r="E24">
        <f>C24</f>
        <v/>
      </c>
      <c r="F24">
        <f>'Mapa de Impacto'!C5</f>
        <v/>
      </c>
      <c r="G24" s="57" t="n">
        <v>13</v>
      </c>
      <c r="H24" s="57" t="inlineStr">
        <is>
          <t>XS</t>
        </is>
      </c>
      <c r="I24" s="57">
        <f>VLOOKUP(H24,Planificacion!$A$4:$B$9,2,FALSE)</f>
        <v/>
      </c>
      <c r="J24" s="57" t="n">
        <v>2</v>
      </c>
      <c r="K24" s="58" t="inlineStr">
        <is>
          <t>Muestra con que idiomas se puede hablar antes de empezar.</t>
        </is>
      </c>
    </row>
    <row r="25">
      <c r="A25" s="34" t="n"/>
      <c r="B25" s="33" t="inlineStr">
        <is>
          <t>HU0024</t>
        </is>
      </c>
      <c r="C25" s="23" t="inlineStr">
        <is>
          <t>Agregar un idioma o una region</t>
        </is>
      </c>
      <c r="D25" t="inlineStr">
        <is>
          <t>Administrador</t>
        </is>
      </c>
      <c r="E25">
        <f>C25</f>
        <v/>
      </c>
      <c r="F25">
        <f>'Mapa de Impacto'!C12</f>
        <v/>
      </c>
      <c r="G25" s="57" t="n">
        <v>24</v>
      </c>
      <c r="H25" s="57" t="inlineStr">
        <is>
          <t>M</t>
        </is>
      </c>
      <c r="I25" s="57">
        <f>VLOOKUP(H25,Planificacion!$A$4:$B$9,2,FALSE)</f>
        <v/>
      </c>
      <c r="J25" s="57" t="n">
        <v>3</v>
      </c>
      <c r="K25" s="58" t="inlineStr">
        <is>
          <t>Hace crecer el servicio a mas personas.</t>
        </is>
      </c>
    </row>
    <row r="26">
      <c r="A26" s="35" t="n"/>
      <c r="B26" s="33" t="inlineStr">
        <is>
          <t>HU0025</t>
        </is>
      </c>
      <c r="C26" s="23" t="inlineStr">
        <is>
          <t>Activar o desactivar un idioma o una region</t>
        </is>
      </c>
      <c r="D26" t="inlineStr">
        <is>
          <t>Administrador</t>
        </is>
      </c>
      <c r="E26">
        <f>C26</f>
        <v/>
      </c>
      <c r="F26">
        <f>'Mapa de Impacto'!C12</f>
        <v/>
      </c>
      <c r="G26" s="57" t="n">
        <v>25</v>
      </c>
      <c r="H26" s="57" t="inlineStr">
        <is>
          <t>XS</t>
        </is>
      </c>
      <c r="I26" s="57">
        <f>VLOOKUP(H26,Planificacion!$A$4:$B$9,2,FALSE)</f>
        <v/>
      </c>
      <c r="J26" s="57" t="n">
        <v>2</v>
      </c>
      <c r="K26" s="58" t="inlineStr">
        <is>
          <t>Controla que idiomas se ofrecen con calidad suficiente.</t>
        </is>
      </c>
    </row>
    <row r="27"/>
    <row r="28"/>
    <row r="29"/>
    <row r="30"/>
    <row r="31"/>
    <row r="32"/>
    <row r="33"/>
    <row r="34"/>
    <row r="35"/>
    <row r="36"/>
    <row r="37"/>
    <row r="38"/>
    <row r="39"/>
    <row r="40"/>
    <row r="41"/>
    <row r="42"/>
    <row r="43"/>
    <row r="44"/>
    <row r="45"/>
    <row r="46"/>
    <row r="47"/>
    <row r="48"/>
    <row r="49"/>
    <row r="50"/>
    <row r="51"/>
    <row r="52"/>
    <row r="53"/>
    <row r="54"/>
    <row r="55"/>
    <row r="56"/>
    <row r="57"/>
    <row r="58"/>
    <row r="59"/>
  </sheetData>
  <mergeCells count="6">
    <mergeCell ref="A22:A23"/>
    <mergeCell ref="A2:A6"/>
    <mergeCell ref="A20:A21"/>
    <mergeCell ref="A7:A15"/>
    <mergeCell ref="A24:A26"/>
    <mergeCell ref="A16:A19"/>
  </mergeCells>
  <hyperlinks>
    <hyperlink ref="A2" location="'Traductor de mensajes'!A1" display="Traductor de mensajes"/>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2" customWidth="1" min="1" max="1"/>
    <col width="16" customWidth="1" min="2" max="2"/>
    <col width="18" customWidth="1" min="3" max="3"/>
    <col width="60" customWidth="1" min="4" max="4"/>
    <col width="28" customWidth="1" min="5" max="5"/>
  </cols>
  <sheetData>
    <row r="1">
      <c r="A1" s="59" t="inlineStr">
        <is>
          <t>Tallas y horas estimadas (una persona desarrolla)</t>
        </is>
      </c>
      <c r="D1" s="59" t="inlineStr">
        <is>
          <t>Capacidad de un sprint</t>
        </is>
      </c>
    </row>
    <row r="3">
      <c r="A3" s="60" t="inlineStr">
        <is>
          <t>Talla</t>
        </is>
      </c>
      <c r="B3" s="60" t="inlineStr">
        <is>
          <t>Horas</t>
        </is>
      </c>
      <c r="D3" s="61" t="inlineStr">
        <is>
          <t>Dias del sprint</t>
        </is>
      </c>
      <c r="E3" s="62" t="n">
        <v>5</v>
      </c>
    </row>
    <row r="4">
      <c r="A4" s="62" t="inlineStr">
        <is>
          <t>XS</t>
        </is>
      </c>
      <c r="B4" s="62" t="n">
        <v>1</v>
      </c>
      <c r="D4" s="61" t="inlineStr">
        <is>
          <t>Horas por dia y por persona</t>
        </is>
      </c>
      <c r="E4" s="62" t="n">
        <v>4</v>
      </c>
    </row>
    <row r="5">
      <c r="A5" s="62" t="inlineStr">
        <is>
          <t>S</t>
        </is>
      </c>
      <c r="B5" s="62" t="n">
        <v>2</v>
      </c>
      <c r="D5" s="61" t="inlineStr">
        <is>
          <t>Personas</t>
        </is>
      </c>
      <c r="E5" s="62" t="n">
        <v>2</v>
      </c>
    </row>
    <row r="6">
      <c r="A6" s="62" t="inlineStr">
        <is>
          <t>M</t>
        </is>
      </c>
      <c r="B6" s="62" t="n">
        <v>4</v>
      </c>
      <c r="D6" s="61" t="inlineStr">
        <is>
          <t>Horas brutas por sprint</t>
        </is>
      </c>
      <c r="E6" s="62">
        <f>E3*E4*E5</f>
        <v/>
      </c>
    </row>
    <row r="7">
      <c r="A7" s="62" t="inlineStr">
        <is>
          <t>L</t>
        </is>
      </c>
      <c r="B7" s="62" t="n">
        <v>6</v>
      </c>
      <c r="D7" s="61" t="inlineStr">
        <is>
          <t>Porcentaje usable (el resto es planeacion, dailies, refinamiento y retrospectiva)</t>
        </is>
      </c>
      <c r="E7" s="63" t="n">
        <v>0.75</v>
      </c>
    </row>
    <row r="8">
      <c r="A8" s="62" t="inlineStr">
        <is>
          <t>XL</t>
        </is>
      </c>
      <c r="B8" s="62" t="n">
        <v>8</v>
      </c>
      <c r="D8" s="61" t="inlineStr">
        <is>
          <t>Horas disponibles por sprint</t>
        </is>
      </c>
      <c r="E8" s="62">
        <f>E6*E7</f>
        <v/>
      </c>
    </row>
    <row r="9">
      <c r="A9" s="62" t="inlineStr">
        <is>
          <t>XXL</t>
        </is>
      </c>
      <c r="B9" s="62" t="n">
        <v>12</v>
      </c>
    </row>
    <row r="12">
      <c r="A12" s="59" t="inlineStr">
        <is>
          <t>Plan por sprint</t>
        </is>
      </c>
    </row>
    <row r="13">
      <c r="A13" s="60" t="inlineStr">
        <is>
          <t>Sprint</t>
        </is>
      </c>
      <c r="B13" s="60" t="inlineStr">
        <is>
          <t>Horas planeadas</t>
        </is>
      </c>
      <c r="C13" s="60" t="inlineStr">
        <is>
          <t>Horas disponibles</t>
        </is>
      </c>
      <c r="D13" s="60" t="inlineStr">
        <is>
          <t>Diferencia</t>
        </is>
      </c>
      <c r="E13" s="60" t="inlineStr">
        <is>
          <t>Historias</t>
        </is>
      </c>
    </row>
    <row r="14">
      <c r="A14" s="64" t="n">
        <v>1</v>
      </c>
      <c r="B14" s="64">
        <f>SUMIF(Entregables!$J$2:$J$40,A14,Entregables!$I$2:$I$40)</f>
        <v/>
      </c>
      <c r="C14" s="64">
        <f>$E$8</f>
        <v/>
      </c>
      <c r="D14" s="64">
        <f>C14-B14</f>
        <v/>
      </c>
      <c r="E14" s="65" t="inlineStr">
        <is>
          <t>HU0001, HU0002, HU0003, HU0004, HU0005, HU0006</t>
        </is>
      </c>
    </row>
    <row r="15">
      <c r="A15" s="64" t="n">
        <v>2</v>
      </c>
      <c r="B15" s="64">
        <f>SUMIF(Entregables!$J$2:$J$40,A15,Entregables!$I$2:$I$40)</f>
        <v/>
      </c>
      <c r="C15" s="64">
        <f>$E$8</f>
        <v/>
      </c>
      <c r="D15" s="64">
        <f>C15-B15</f>
        <v/>
      </c>
      <c r="E15" s="65" t="inlineStr">
        <is>
          <t>HU0007, HU0008, HU0009, HU0010, HU0011, HU0012, HU0013, HU0018, HU0019, HU0020, HU0023, HU0025</t>
        </is>
      </c>
    </row>
    <row r="16">
      <c r="A16" s="64" t="n">
        <v>3</v>
      </c>
      <c r="B16" s="64">
        <f>SUMIF(Entregables!$J$2:$J$40,A16,Entregables!$I$2:$I$40)</f>
        <v/>
      </c>
      <c r="C16" s="64">
        <f>$E$8</f>
        <v/>
      </c>
      <c r="D16" s="64">
        <f>C16-B16</f>
        <v/>
      </c>
      <c r="E16" s="65" t="inlineStr">
        <is>
          <t>HU0014, HU0015, HU0016, HU0017, HU0021, HU0022, HU0024</t>
        </is>
      </c>
    </row>
    <row r="17">
      <c r="A17" s="66" t="inlineStr">
        <is>
          <t>Total</t>
        </is>
      </c>
      <c r="B17" s="66">
        <f>SUM(B14:B16)</f>
        <v/>
      </c>
    </row>
    <row r="19">
      <c r="A19" s="66" t="inlineStr">
        <is>
          <t>Notas</t>
        </is>
      </c>
    </row>
    <row r="20">
      <c r="A20" t="inlineStr">
        <is>
          <t>La prioridad va por valor para el negocio (no por dependencia): lo que mas valor genera es traducir; registrarse y cerrar sesion son de apoyo.</t>
        </is>
      </c>
    </row>
    <row r="21">
      <c r="A21" t="inlineStr">
        <is>
          <t>Se llenan los sprints de mayor a menor valor hasta quedar cerca de las horas disponibles; si sobra espacio se acomoda una historia pequena de mas abajo.</t>
        </is>
      </c>
    </row>
    <row r="22">
      <c r="A22" t="inlineStr">
        <is>
          <t>Las horas por talla son una estimacion; se pueden ajustar y las formulas recalculan los sprints.</t>
        </is>
      </c>
    </row>
    <row r="23">
      <c r="A23" t="inlineStr">
        <is>
          <t>Metodologico: el plan de liberaciones se arma con estos sprints.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6"/>
  <sheetViews>
    <sheetView zoomScale="110" zoomScaleNormal="100" workbookViewId="0">
      <pane ySplit="1" topLeftCell="A2" activePane="bottomLeft" state="frozen"/>
      <selection pane="bottomLeft" activeCell="K14" sqref="K14"/>
    </sheetView>
  </sheetViews>
  <sheetFormatPr baseColWidth="10" defaultColWidth="8.83203125" defaultRowHeight="15"/>
  <cols>
    <col width="30" customWidth="1" min="1" max="1"/>
    <col width="26" customWidth="1" min="2" max="2"/>
    <col width="16" customWidth="1" min="3" max="3"/>
    <col width="46" customWidth="1" min="4" max="4"/>
    <col width="58" customWidth="1" min="5" max="5"/>
  </cols>
  <sheetData>
    <row r="1" ht="16" customHeight="1">
      <c r="A1" s="11" t="inlineStr">
        <is>
          <t>Entregable</t>
        </is>
      </c>
      <c r="B1" s="11" t="inlineStr">
        <is>
          <t>Característica</t>
        </is>
      </c>
      <c r="C1" s="11" t="inlineStr">
        <is>
          <t>Como</t>
        </is>
      </c>
      <c r="D1" s="11" t="inlineStr">
        <is>
          <t>Necesito</t>
        </is>
      </c>
      <c r="E1" s="11" t="inlineStr">
        <is>
          <t>Para</t>
        </is>
      </c>
    </row>
    <row r="2" ht="48" customHeight="1">
      <c r="A2" s="12" t="inlineStr">
        <is>
          <t>Traduccion de mensajes</t>
        </is>
      </c>
      <c r="B2" s="12" t="inlineStr">
        <is>
          <t>Recibir entrada del mensaje</t>
        </is>
      </c>
      <c r="C2" s="12" t="inlineStr">
        <is>
          <t>Cliente Traductor</t>
        </is>
      </c>
      <c r="D2" s="12" t="inlineStr">
        <is>
          <t>decir (hablar) el mensaje que quiero traducir</t>
        </is>
      </c>
      <c r="E2" s="42" t="inlineStr">
        <is>
          <t>Traducir un mensaje de un idioma origen a un idioma destino en tiempo real, para comunicarme fácil y rápidamente con personas que hablan otro idioma conservando el contexto cultural, el tono y los modismos.</t>
        </is>
      </c>
    </row>
    <row r="3" ht="32" customHeight="1">
      <c r="A3" s="12" t="inlineStr">
        <is>
          <t>Traduccion de mensajes</t>
        </is>
      </c>
      <c r="B3" s="12" t="inlineStr">
        <is>
          <t>Recibir entrada del mensaje</t>
        </is>
      </c>
      <c r="C3" s="12" t="inlineStr">
        <is>
          <t>Cliente Traductor</t>
        </is>
      </c>
      <c r="D3" s="12" t="inlineStr">
        <is>
          <t>escribir el mensaje que quiero traducir</t>
        </is>
      </c>
      <c r="E3" s="38" t="n"/>
    </row>
    <row r="4" ht="32" customHeight="1">
      <c r="A4" s="12" t="inlineStr">
        <is>
          <t>Gestion de conversaciones</t>
        </is>
      </c>
      <c r="B4" s="12" t="inlineStr">
        <is>
          <t>Seleccionar idioma y región destino</t>
        </is>
      </c>
      <c r="C4" s="12" t="inlineStr">
        <is>
          <t>Cliente Traductor</t>
        </is>
      </c>
      <c r="D4" s="12" t="inlineStr">
        <is>
          <t>elegir el idioma y la región a los que quiero traducir</t>
        </is>
      </c>
      <c r="E4" s="42" t="inlineStr">
        <is>
          <t>Definir y conocer los idiomas y regiones con los que me quiero comunicar, para dejar claro desde el inicio qué idioma hablo y a qué idioma/región necesito traducir.</t>
        </is>
      </c>
    </row>
    <row r="5" ht="32" customHeight="1">
      <c r="A5" s="12" t="inlineStr">
        <is>
          <t>Gestion de conversaciones</t>
        </is>
      </c>
      <c r="B5" s="12" t="inlineStr">
        <is>
          <t>Reconocer el idioma origen</t>
        </is>
      </c>
      <c r="C5" s="12" t="inlineStr">
        <is>
          <t>Cliente Traductor</t>
        </is>
      </c>
      <c r="D5" s="12" t="inlineStr">
        <is>
          <t>empezar a hablar sin tener que indicar manualmente mi idioma de origen, reconociéndolo desde mi primer mensaje de voz (Conversacion-RN-2)</t>
        </is>
      </c>
      <c r="E5" s="37" t="n"/>
    </row>
    <row r="6" ht="16" customHeight="1">
      <c r="A6" s="12" t="inlineStr">
        <is>
          <t>Administracion de idiomas y regiones</t>
        </is>
      </c>
      <c r="B6" s="12" t="inlineStr">
        <is>
          <t>Consultar idiomas disponibles</t>
        </is>
      </c>
      <c r="C6" s="12" t="inlineStr">
        <is>
          <t>Cliente Traductor</t>
        </is>
      </c>
      <c r="D6" s="12" t="inlineStr">
        <is>
          <t>ver la lista de idiomas y regiones que TalkLate soporta antes de configurar la conversación</t>
        </is>
      </c>
      <c r="E6" s="38" t="n"/>
    </row>
    <row r="7" ht="16" customHeight="1">
      <c r="A7" s="12" t="inlineStr">
        <is>
          <t>Gestion de conversaciones</t>
        </is>
      </c>
      <c r="B7" s="12" t="inlineStr">
        <is>
          <t>Crear conversación</t>
        </is>
      </c>
      <c r="C7" s="12" t="inlineStr">
        <is>
          <t>Cliente Traductor</t>
        </is>
      </c>
      <c r="D7" s="12" t="inlineStr">
        <is>
          <t>iniciar una nueva conversación con otra persona</t>
        </is>
      </c>
      <c r="E7" s="42" t="inlineStr">
        <is>
          <t>Configurar una conversación una sola vez y mantener su hilo continuo, para conversar de forma fluida y organizada sin reconfigurar nada en cada mensaje.</t>
        </is>
      </c>
    </row>
    <row r="8" ht="32" customHeight="1">
      <c r="A8" s="12" t="inlineStr">
        <is>
          <t>Gestion de conversaciones</t>
        </is>
      </c>
      <c r="B8" s="12" t="inlineStr">
        <is>
          <t>Configurar parámetros una sola vez</t>
        </is>
      </c>
      <c r="C8" s="12" t="inlineStr">
        <is>
          <t>Cliente Traductor</t>
        </is>
      </c>
      <c r="D8" s="12" t="inlineStr">
        <is>
          <t>definir el idioma y la región destino una única vez al crear la conversación (Conversacion-RN-1)</t>
        </is>
      </c>
      <c r="E8" s="37" t="n"/>
    </row>
    <row r="9" ht="32" customHeight="1">
      <c r="A9" s="12" t="inlineStr">
        <is>
          <t>Gestion de conversaciones</t>
        </is>
      </c>
      <c r="B9" s="12" t="inlineStr">
        <is>
          <t>Mantener el hilo continuo</t>
        </is>
      </c>
      <c r="C9" s="12" t="inlineStr">
        <is>
          <t>Cliente Traductor</t>
        </is>
      </c>
      <c r="D9" s="12" t="inlineStr">
        <is>
          <t>que cada mensaje que envío o recibo dentro de esa conversación se traduzca automáticamente sin volver a configurar nada</t>
        </is>
      </c>
      <c r="E9" s="38" t="n"/>
    </row>
    <row r="10" ht="16" customHeight="1">
      <c r="A10" s="12" t="inlineStr">
        <is>
          <t>Gestion de conversaciones</t>
        </is>
      </c>
      <c r="B10" s="12" t="inlineStr">
        <is>
          <t>Consultar historial</t>
        </is>
      </c>
      <c r="C10" s="12" t="inlineStr">
        <is>
          <t>Cliente Traductor</t>
        </is>
      </c>
      <c r="D10" s="12" t="inlineStr">
        <is>
          <t>ver la lista de mis conversaciones anteriores</t>
        </is>
      </c>
      <c r="E10" s="42" t="inlineStr">
        <is>
          <t>Consultar, organizar y reaprovechar mis conversaciones anteriores, para tener un historial ordenado que me sirva de recurso de aprendizaje y referencia.</t>
        </is>
      </c>
    </row>
    <row r="11" ht="32" customHeight="1">
      <c r="A11" s="12" t="inlineStr">
        <is>
          <t>Gestion de conversaciones</t>
        </is>
      </c>
      <c r="B11" s="12" t="inlineStr">
        <is>
          <t>Abrir una conversación</t>
        </is>
      </c>
      <c r="C11" s="12" t="inlineStr">
        <is>
          <t>Cliente Traductor</t>
        </is>
      </c>
      <c r="D11" s="12" t="inlineStr">
        <is>
          <t>abrir una conversación anterior y ver sus mensajes originales y traducidos</t>
        </is>
      </c>
      <c r="E11" s="37" t="n"/>
    </row>
    <row r="12" ht="32" customHeight="1">
      <c r="A12" s="12" t="inlineStr">
        <is>
          <t>Gestion de conversaciones</t>
        </is>
      </c>
      <c r="B12" s="12" t="inlineStr">
        <is>
          <t>Renombrar conversación</t>
        </is>
      </c>
      <c r="C12" s="12" t="inlineStr">
        <is>
          <t>Cliente Traductor</t>
        </is>
      </c>
      <c r="D12" s="12" t="inlineStr">
        <is>
          <t>cambiar el nombre de una conversación para identificarla fácilmente</t>
        </is>
      </c>
      <c r="E12" s="37" t="n"/>
    </row>
    <row r="13" ht="16" customHeight="1">
      <c r="A13" s="12" t="inlineStr">
        <is>
          <t>Gestion de conversaciones</t>
        </is>
      </c>
      <c r="B13" s="12" t="inlineStr">
        <is>
          <t>Eliminar conversación</t>
        </is>
      </c>
      <c r="C13" s="12" t="inlineStr">
        <is>
          <t>Cliente Traductor</t>
        </is>
      </c>
      <c r="D13" s="12" t="inlineStr">
        <is>
          <t>eliminar una conversación que ya no necesito</t>
        </is>
      </c>
      <c r="E13" s="38" t="n"/>
    </row>
    <row r="14" ht="32" customHeight="1">
      <c r="A14" s="12" t="inlineStr">
        <is>
          <t>Cuenta de usuario</t>
        </is>
      </c>
      <c r="B14" s="12" t="inlineStr">
        <is>
          <t>Registro de cuenta</t>
        </is>
      </c>
      <c r="C14" s="12" t="inlineStr">
        <is>
          <t>Cliente Traductor</t>
        </is>
      </c>
      <c r="D14" s="12" t="inlineStr">
        <is>
          <t>registrarme con mi nombre, apellido, correo y contraseña</t>
        </is>
      </c>
      <c r="E14" s="42" t="inlineStr">
        <is>
          <t>Crear y administrar mi perfil de forma sencilla y segura, para acceder con mi identidad protegida a mis configuraciones y conversaciones.</t>
        </is>
      </c>
    </row>
    <row r="15" ht="32" customHeight="1">
      <c r="A15" s="12" t="inlineStr">
        <is>
          <t>Cuenta de usuario</t>
        </is>
      </c>
      <c r="B15" s="12" t="inlineStr">
        <is>
          <t>Registro de cuenta</t>
        </is>
      </c>
      <c r="C15" s="12" t="inlineStr">
        <is>
          <t>Cliente Traductor</t>
        </is>
      </c>
      <c r="D15" s="12" t="inlineStr">
        <is>
          <t>registrarme indicando mi fecha de nacimiento y que solo se permita el registro si tengo al menos 13 años (Usuario-RN-2)</t>
        </is>
      </c>
      <c r="E15" s="37" t="n"/>
    </row>
    <row r="16" ht="32" customHeight="1">
      <c r="A16" s="12" t="inlineStr">
        <is>
          <t>Cuenta de usuario</t>
        </is>
      </c>
      <c r="B16" s="12" t="inlineStr">
        <is>
          <t>Inicio de sesión</t>
        </is>
      </c>
      <c r="C16" s="12" t="inlineStr">
        <is>
          <t>Cliente Traductor</t>
        </is>
      </c>
      <c r="D16" s="12" t="inlineStr">
        <is>
          <t>iniciar sesión con mi correo y contraseña</t>
        </is>
      </c>
      <c r="E16" s="37" t="n"/>
    </row>
    <row r="17" ht="32" customHeight="1">
      <c r="A17" s="12" t="inlineStr">
        <is>
          <t>Cuenta de usuario</t>
        </is>
      </c>
      <c r="B17" s="12" t="inlineStr">
        <is>
          <t>Recuperación de contraseña</t>
        </is>
      </c>
      <c r="C17" s="12" t="inlineStr">
        <is>
          <t>Cliente Traductor</t>
        </is>
      </c>
      <c r="D17" s="12" t="inlineStr">
        <is>
          <t>solicitar un código de recuperación a mi correo cuando olvide mi contraseña</t>
        </is>
      </c>
      <c r="E17" s="37" t="n"/>
    </row>
    <row r="18" ht="48" customHeight="1">
      <c r="A18" s="12" t="inlineStr">
        <is>
          <t>Cuenta de usuario</t>
        </is>
      </c>
      <c r="B18" s="12" t="inlineStr">
        <is>
          <t>Recuperación de contraseña</t>
        </is>
      </c>
      <c r="C18" s="12" t="inlineStr">
        <is>
          <t>Cliente Traductor</t>
        </is>
      </c>
      <c r="D18" s="12" t="inlineStr">
        <is>
          <t>definir una nueva contraseña usando el código de recuperación recibido</t>
        </is>
      </c>
      <c r="E18" s="37" t="n"/>
    </row>
    <row r="19" ht="32" customHeight="1">
      <c r="A19" s="12" t="inlineStr">
        <is>
          <t>Cuenta de usuario</t>
        </is>
      </c>
      <c r="B19" s="12" t="inlineStr">
        <is>
          <t>Cierre de sesión</t>
        </is>
      </c>
      <c r="C19" s="12" t="inlineStr">
        <is>
          <t>Cliente Traductor</t>
        </is>
      </c>
      <c r="D19" s="12" t="inlineStr">
        <is>
          <t>cerrar mi sesión activa cuando termine de usar la app</t>
        </is>
      </c>
      <c r="E19" s="38" t="n"/>
    </row>
    <row r="20" ht="32" customHeight="1">
      <c r="A20" s="12" t="inlineStr">
        <is>
          <t>Traduccion de mensajes</t>
        </is>
      </c>
      <c r="B20" s="12" t="inlineStr">
        <is>
          <t>Reproducir audio traducido</t>
        </is>
      </c>
      <c r="C20" s="12" t="inlineStr">
        <is>
          <t>Cliente Traductor</t>
        </is>
      </c>
      <c r="D20" s="12" t="inlineStr">
        <is>
          <t>escuchar el mensaje traducido en un audio claro y natural</t>
        </is>
      </c>
      <c r="E20" s="42" t="inlineStr">
        <is>
          <t>Escuchar y entregar el mensaje traducido en el mismo canal (voz o texto) de forma clara y natural, para que mi interlocutor lo reciba de forma cómoda y comprensible.</t>
        </is>
      </c>
    </row>
    <row r="21" ht="32" customHeight="1">
      <c r="A21" s="12" t="inlineStr">
        <is>
          <t>Traduccion de mensajes</t>
        </is>
      </c>
      <c r="B21" s="12" t="inlineStr">
        <is>
          <t>Entregar por el mismo canal</t>
        </is>
      </c>
      <c r="C21" s="12" t="inlineStr">
        <is>
          <t>Cliente Traductor</t>
        </is>
      </c>
      <c r="D21" s="12" t="inlineStr">
        <is>
          <t>recibir el mensaje traducido en el mismo formato que usé para enviarlo (audio si hablé, texto si escribí)</t>
        </is>
      </c>
      <c r="E21" s="38" t="n"/>
    </row>
    <row r="22" ht="32" customHeight="1">
      <c r="A22" s="12" t="inlineStr">
        <is>
          <t>Reportes</t>
        </is>
      </c>
      <c r="B22" s="12" t="inlineStr">
        <is>
          <t>Reportar mala traducción</t>
        </is>
      </c>
      <c r="C22" s="12" t="inlineStr">
        <is>
          <t>Cliente Traductor</t>
        </is>
      </c>
      <c r="D22" s="12" t="inlineStr">
        <is>
          <t>reportar cuando una traducción no fue correcta o natural</t>
        </is>
      </c>
      <c r="E22" s="12" t="inlineStr">
        <is>
          <t>Reportar cuando una traducción no fue correcta o natural, para contribuir a que la calidad del servicio mejore con el tiempo.</t>
        </is>
      </c>
    </row>
    <row r="23" ht="32" customHeight="1">
      <c r="A23" s="12" t="inlineStr">
        <is>
          <t>Participacion del interlocutor</t>
        </is>
      </c>
      <c r="B23" s="12" t="inlineStr">
        <is>
          <t>Recibir mensaje traducido</t>
        </is>
      </c>
      <c r="C23" s="12" t="inlineStr">
        <is>
          <t>Interlocutor</t>
        </is>
      </c>
      <c r="D23" s="12" t="inlineStr">
        <is>
          <t>escuchar o leer en mi propio idioma el mensaje que me enviaron</t>
        </is>
      </c>
      <c r="E23" s="42" t="inlineStr">
        <is>
          <t>Recibir en mi propio idioma los mensajes que me envían y responder en el mío, para participar en la conversación de forma natural aunque no comparta el idioma de la otra persona.</t>
        </is>
      </c>
    </row>
    <row r="24" ht="32" customHeight="1">
      <c r="A24" s="12" t="inlineStr">
        <is>
          <t>Participacion del interlocutor</t>
        </is>
      </c>
      <c r="B24" s="12" t="inlineStr">
        <is>
          <t>Responder en mi idioma</t>
        </is>
      </c>
      <c r="C24" s="12" t="inlineStr">
        <is>
          <t>Interlocutor</t>
        </is>
      </c>
      <c r="D24" s="12" t="inlineStr">
        <is>
          <t>responder hablando o escribiendo en mi propio idioma para que la otra persona lo reciba traducido</t>
        </is>
      </c>
      <c r="E24" s="38" t="n"/>
    </row>
    <row r="25" ht="32" customHeight="1">
      <c r="A25" s="12" t="inlineStr">
        <is>
          <t>Administracion de idiomas y regiones</t>
        </is>
      </c>
      <c r="B25" s="12" t="inlineStr">
        <is>
          <t>Gestionar catálogo de idiomas</t>
        </is>
      </c>
      <c r="C25" s="12" t="inlineStr">
        <is>
          <t>Administrador</t>
        </is>
      </c>
      <c r="D25" s="12" t="inlineStr">
        <is>
          <t>agregar, activar o desactivar los idiomas, regiones y acentos disponibles</t>
        </is>
      </c>
      <c r="E25" s="42" t="inlineStr">
        <is>
          <t>Gestionar el catálogo de idiomas, regiones y acentos soportados por la aplicación, para mantener actualizada y disponible la oferta de idiomas del servicio.</t>
        </is>
      </c>
    </row>
    <row r="26" ht="32" customHeight="1">
      <c r="A26" s="12" t="inlineStr">
        <is>
          <t>Reportes</t>
        </is>
      </c>
      <c r="B26" s="12" t="inlineStr">
        <is>
          <t>Revisar reportes de mala traducción</t>
        </is>
      </c>
      <c r="C26" s="12" t="inlineStr">
        <is>
          <t>Administrador</t>
        </is>
      </c>
      <c r="D26" s="12" t="inlineStr">
        <is>
          <t>revisar los reportes de mala traducción enviados por los clientes para priorizar mejoras</t>
        </is>
      </c>
      <c r="E26" t="inlineStr">
        <is>
          <t>Revisar los reportes de mala traducción enviados por los clientes, para priorizar las mejoras y la evolución de la calidad del servicio.</t>
        </is>
      </c>
    </row>
  </sheetData>
  <mergeCells count="7">
    <mergeCell ref="E7:E9"/>
    <mergeCell ref="E20:E21"/>
    <mergeCell ref="E4:E6"/>
    <mergeCell ref="E23:E24"/>
    <mergeCell ref="E2:E3"/>
    <mergeCell ref="E14:E19"/>
    <mergeCell ref="E10:E1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Traduccion de mensajes</t>
        </is>
      </c>
    </row>
    <row r="2" ht="16" customHeight="1">
      <c r="A2" s="17" t="inlineStr">
        <is>
          <t>Actor</t>
        </is>
      </c>
      <c r="B2" s="18" t="inlineStr">
        <is>
          <t>Cliente Traductor</t>
        </is>
      </c>
    </row>
    <row r="3" ht="90" customHeight="1">
      <c r="A3" s="17" t="inlineStr">
        <is>
          <t>Impacto (para)</t>
        </is>
      </c>
      <c r="B3" s="18">
        <f>'Mapa de Impacto'!C4&amp;CHAR(10)&amp;'Mapa de Impacto'!C9</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f>
        <v/>
      </c>
      <c r="B8" s="18">
        <f>Entregables!D2</f>
        <v/>
      </c>
      <c r="C8" s="18">
        <f>Entregables!E2</f>
        <v/>
      </c>
      <c r="D8" s="18">
        <f>Entregables!F2</f>
        <v/>
      </c>
    </row>
    <row r="9" ht="45" customHeight="1">
      <c r="A9" s="18">
        <f>Entregables!C3</f>
        <v/>
      </c>
      <c r="B9" s="18">
        <f>Entregables!D3</f>
        <v/>
      </c>
      <c r="C9" s="18">
        <f>Entregables!E3</f>
        <v/>
      </c>
      <c r="D9" s="18">
        <f>Entregables!F3</f>
        <v/>
      </c>
    </row>
    <row r="10" ht="45" customHeight="1">
      <c r="A10" s="18">
        <f>Entregables!C4</f>
        <v/>
      </c>
      <c r="B10" s="18">
        <f>Entregables!D4</f>
        <v/>
      </c>
      <c r="C10" s="18">
        <f>Entregables!E4</f>
        <v/>
      </c>
      <c r="D10" s="18">
        <f>Entregables!F4</f>
        <v/>
      </c>
    </row>
    <row r="11" ht="45" customHeight="1">
      <c r="A11" s="18">
        <f>Entregables!C5</f>
        <v/>
      </c>
      <c r="B11" s="18">
        <f>Entregables!D5</f>
        <v/>
      </c>
      <c r="C11" s="18">
        <f>Entregables!E5</f>
        <v/>
      </c>
      <c r="D11" s="18">
        <f>Entregables!F5</f>
        <v/>
      </c>
    </row>
    <row r="12" ht="45" customHeight="1">
      <c r="A12" s="18">
        <f>Entregables!C6</f>
        <v/>
      </c>
      <c r="B12" s="18">
        <f>Entregables!D6</f>
        <v/>
      </c>
      <c r="C12" s="18">
        <f>Entregables!E6</f>
        <v/>
      </c>
      <c r="D12" s="18">
        <f>Entregables!F6</f>
        <v/>
      </c>
    </row>
    <row r="13"/>
    <row r="14"/>
    <row r="15"/>
    <row r="16"/>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Gestion de conversaciones</t>
        </is>
      </c>
    </row>
    <row r="2" ht="16" customHeight="1">
      <c r="A2" s="17" t="inlineStr">
        <is>
          <t>Actor</t>
        </is>
      </c>
      <c r="B2" s="18" t="inlineStr">
        <is>
          <t>Cliente Traductor</t>
        </is>
      </c>
    </row>
    <row r="3" ht="135" customHeight="1">
      <c r="A3" s="17" t="inlineStr">
        <is>
          <t>Impacto (para)</t>
        </is>
      </c>
      <c r="B3" s="18">
        <f>'Mapa de Impacto'!C5&amp;CHAR(10)&amp;'Mapa de Impacto'!C6&amp;CHAR(10)&amp;'Mapa de Impacto'!C7</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Entregables!C7</f>
        <v/>
      </c>
      <c r="B8" s="18">
        <f>Entregables!D7</f>
        <v/>
      </c>
      <c r="C8" s="18">
        <f>Entregables!E7</f>
        <v/>
      </c>
      <c r="D8" s="18">
        <f>Entregables!F7</f>
        <v/>
      </c>
    </row>
    <row r="9" ht="45" customHeight="1">
      <c r="A9" s="18">
        <f>Entregables!C8</f>
        <v/>
      </c>
      <c r="B9" s="18">
        <f>Entregables!D8</f>
        <v/>
      </c>
      <c r="C9" s="18">
        <f>Entregables!E8</f>
        <v/>
      </c>
      <c r="D9" s="18">
        <f>Entregables!F8</f>
        <v/>
      </c>
    </row>
    <row r="10" ht="45" customHeight="1">
      <c r="A10" s="18">
        <f>Entregables!C9</f>
        <v/>
      </c>
      <c r="B10" s="18">
        <f>Entregables!D9</f>
        <v/>
      </c>
      <c r="C10" s="18">
        <f>Entregables!E9</f>
        <v/>
      </c>
      <c r="D10" s="18">
        <f>Entregables!F9</f>
        <v/>
      </c>
    </row>
    <row r="11" ht="45" customHeight="1">
      <c r="A11" s="18">
        <f>Entregables!C10</f>
        <v/>
      </c>
      <c r="B11" s="18">
        <f>Entregables!D10</f>
        <v/>
      </c>
      <c r="C11" s="18">
        <f>Entregables!E10</f>
        <v/>
      </c>
      <c r="D11" s="18">
        <f>Entregables!F10</f>
        <v/>
      </c>
    </row>
    <row r="12" ht="45" customHeight="1">
      <c r="A12" s="18">
        <f>Entregables!C11</f>
        <v/>
      </c>
      <c r="B12" s="18">
        <f>Entregables!D11</f>
        <v/>
      </c>
      <c r="C12" s="18">
        <f>Entregables!E11</f>
        <v/>
      </c>
      <c r="D12" s="18">
        <f>Entregables!F11</f>
        <v/>
      </c>
    </row>
    <row r="13" ht="45" customHeight="1">
      <c r="A13" s="18">
        <f>Entregables!C12</f>
        <v/>
      </c>
      <c r="B13" s="18">
        <f>Entregables!D12</f>
        <v/>
      </c>
      <c r="C13" s="18">
        <f>Entregables!E12</f>
        <v/>
      </c>
      <c r="D13" s="18">
        <f>Entregables!F12</f>
        <v/>
      </c>
    </row>
    <row r="14" ht="45" customHeight="1">
      <c r="A14" s="18">
        <f>Entregables!C13</f>
        <v/>
      </c>
      <c r="B14" s="18">
        <f>Entregables!D13</f>
        <v/>
      </c>
      <c r="C14" s="18">
        <f>Entregables!E13</f>
        <v/>
      </c>
      <c r="D14" s="18">
        <f>Entregables!F13</f>
        <v/>
      </c>
    </row>
    <row r="15" ht="45" customHeight="1">
      <c r="A15" s="18">
        <f>Entregables!C14</f>
        <v/>
      </c>
      <c r="B15" s="18">
        <f>Entregables!D14</f>
        <v/>
      </c>
      <c r="C15" s="18">
        <f>Entregables!E14</f>
        <v/>
      </c>
      <c r="D15" s="18">
        <f>Entregables!F14</f>
        <v/>
      </c>
    </row>
    <row r="16" ht="45" customHeight="1">
      <c r="A16" s="18">
        <f>Entregables!C15</f>
        <v/>
      </c>
      <c r="B16" s="18">
        <f>Entregables!D15</f>
        <v/>
      </c>
      <c r="C16" s="18">
        <f>Entregables!E15</f>
        <v/>
      </c>
      <c r="D16" s="18">
        <f>Entregables!F15</f>
        <v/>
      </c>
    </row>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Cuenta de usuario</t>
        </is>
      </c>
    </row>
    <row r="2" ht="16" customHeight="1">
      <c r="A2" s="17" t="inlineStr">
        <is>
          <t>Actor</t>
        </is>
      </c>
      <c r="B2" s="18" t="inlineStr">
        <is>
          <t>Cliente Traductor</t>
        </is>
      </c>
    </row>
    <row r="3" ht="45" customHeight="1">
      <c r="A3" s="17" t="inlineStr">
        <is>
          <t>Impacto (para)</t>
        </is>
      </c>
      <c r="B3" s="18">
        <f>'Mapa de Impacto'!C8</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Entregables!C16</f>
        <v/>
      </c>
      <c r="B8" s="18">
        <f>Entregables!D16</f>
        <v/>
      </c>
      <c r="C8" s="18">
        <f>Entregables!E16</f>
        <v/>
      </c>
      <c r="D8" s="18">
        <f>Entregables!F16</f>
        <v/>
      </c>
    </row>
    <row r="9" ht="45" customHeight="1">
      <c r="A9" s="18">
        <f>Entregables!C17</f>
        <v/>
      </c>
      <c r="B9" s="18">
        <f>Entregables!D17</f>
        <v/>
      </c>
      <c r="C9" s="18">
        <f>Entregables!E17</f>
        <v/>
      </c>
      <c r="D9" s="18">
        <f>Entregables!F17</f>
        <v/>
      </c>
    </row>
    <row r="10" ht="45" customHeight="1">
      <c r="A10" s="18">
        <f>Entregables!C18</f>
        <v/>
      </c>
      <c r="B10" s="18">
        <f>Entregables!D18</f>
        <v/>
      </c>
      <c r="C10" s="18">
        <f>Entregables!E18</f>
        <v/>
      </c>
      <c r="D10" s="18">
        <f>Entregables!F18</f>
        <v/>
      </c>
    </row>
    <row r="11" ht="45" customHeight="1">
      <c r="A11" s="18">
        <f>Entregables!C19</f>
        <v/>
      </c>
      <c r="B11" s="18">
        <f>Entregables!D19</f>
        <v/>
      </c>
      <c r="C11" s="18">
        <f>Entregables!E19</f>
        <v/>
      </c>
      <c r="D11" s="18">
        <f>Entregables!F19</f>
        <v/>
      </c>
    </row>
    <row r="12"/>
    <row r="13"/>
    <row r="14"/>
    <row r="15"/>
    <row r="16"/>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Participacion del interlocutor</t>
        </is>
      </c>
    </row>
    <row r="2" ht="16" customHeight="1">
      <c r="A2" s="17" t="inlineStr">
        <is>
          <t>Actor</t>
        </is>
      </c>
      <c r="B2" s="18" t="inlineStr">
        <is>
          <t>Interlocutor</t>
        </is>
      </c>
    </row>
    <row r="3" ht="45" customHeight="1">
      <c r="A3" s="17" t="inlineStr">
        <is>
          <t>Impacto (para)</t>
        </is>
      </c>
      <c r="B3" s="18">
        <f>'Mapa de Impacto'!C11</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Entregables!C20</f>
        <v/>
      </c>
      <c r="B8" s="18">
        <f>Entregables!D20</f>
        <v/>
      </c>
      <c r="C8" s="18">
        <f>Entregables!E20</f>
        <v/>
      </c>
      <c r="D8" s="18">
        <f>Entregables!F20</f>
        <v/>
      </c>
    </row>
    <row r="9" ht="45" customHeight="1">
      <c r="A9" s="18">
        <f>Entregables!C21</f>
        <v/>
      </c>
      <c r="B9" s="18">
        <f>Entregables!D21</f>
        <v/>
      </c>
      <c r="C9" s="18">
        <f>Entregables!E21</f>
        <v/>
      </c>
      <c r="D9" s="18">
        <f>Entregables!F21</f>
        <v/>
      </c>
    </row>
    <row r="10" ht="45" customHeight="1">
      <c r="A10" s="18" t="n"/>
      <c r="B10" s="18" t="n"/>
      <c r="C10" s="18" t="n"/>
      <c r="D10" s="18" t="n"/>
    </row>
    <row r="11" ht="45" customHeight="1">
      <c r="A11" s="18" t="n"/>
      <c r="B11" s="18" t="n"/>
      <c r="C11" s="18" t="n"/>
      <c r="D11" s="18" t="n"/>
    </row>
    <row r="12"/>
    <row r="13"/>
    <row r="14"/>
    <row r="15"/>
    <row r="16"/>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Reportes</t>
        </is>
      </c>
    </row>
    <row r="2" ht="16" customHeight="1">
      <c r="A2" s="17" t="inlineStr">
        <is>
          <t>Actor</t>
        </is>
      </c>
      <c r="B2" s="18" t="inlineStr">
        <is>
          <t>Cliente Traductor / Administrador</t>
        </is>
      </c>
    </row>
    <row r="3" ht="90" customHeight="1">
      <c r="A3" s="17" t="inlineStr">
        <is>
          <t>Impacto (para)</t>
        </is>
      </c>
      <c r="B3" s="18">
        <f>'Mapa de Impacto'!C10&amp;CHAR(10)&amp;'Mapa de Impacto'!C13</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Entregables!C22</f>
        <v/>
      </c>
      <c r="B8" s="18">
        <f>Entregables!D22</f>
        <v/>
      </c>
      <c r="C8" s="18">
        <f>Entregables!E22</f>
        <v/>
      </c>
      <c r="D8" s="18">
        <f>Entregables!F22</f>
        <v/>
      </c>
    </row>
    <row r="9" ht="45" customHeight="1">
      <c r="A9" s="18">
        <f>Entregables!C23</f>
        <v/>
      </c>
      <c r="B9" s="18">
        <f>Entregables!D23</f>
        <v/>
      </c>
      <c r="C9" s="18">
        <f>Entregables!E23</f>
        <v/>
      </c>
      <c r="D9" s="18">
        <f>Entregables!F23</f>
        <v/>
      </c>
    </row>
    <row r="10" ht="45" customHeight="1">
      <c r="A10" s="18" t="n"/>
      <c r="B10" s="18" t="n"/>
      <c r="C10" s="18" t="n"/>
      <c r="D10" s="18" t="n"/>
    </row>
    <row r="11" ht="45" customHeight="1">
      <c r="A11" s="18" t="n"/>
      <c r="B11" s="18" t="n"/>
      <c r="C11" s="18" t="n"/>
      <c r="D11" s="18" t="n"/>
    </row>
    <row r="12"/>
    <row r="13"/>
    <row r="14"/>
    <row r="15"/>
    <row r="16"/>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Administracion de idiomas y regiones</t>
        </is>
      </c>
    </row>
    <row r="2" ht="16" customHeight="1">
      <c r="A2" s="17" t="inlineStr">
        <is>
          <t>Actor</t>
        </is>
      </c>
      <c r="B2" s="18" t="inlineStr">
        <is>
          <t>Cliente Traductor / Administrador</t>
        </is>
      </c>
    </row>
    <row r="3" ht="90" customHeight="1">
      <c r="A3" s="17" t="inlineStr">
        <is>
          <t>Impacto (para)</t>
        </is>
      </c>
      <c r="B3" s="18">
        <f>'Mapa de Impacto'!C5&amp;CHAR(10)&amp;'Mapa de Impacto'!C12</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Entregables!C24</f>
        <v/>
      </c>
      <c r="B8" s="18">
        <f>Entregables!D24</f>
        <v/>
      </c>
      <c r="C8" s="18">
        <f>Entregables!E24</f>
        <v/>
      </c>
      <c r="D8" s="18">
        <f>Entregables!F24</f>
        <v/>
      </c>
    </row>
    <row r="9" ht="45" customHeight="1">
      <c r="A9" s="18">
        <f>Entregables!C25</f>
        <v/>
      </c>
      <c r="B9" s="18">
        <f>Entregables!D25</f>
        <v/>
      </c>
      <c r="C9" s="18">
        <f>Entregables!E25</f>
        <v/>
      </c>
      <c r="D9" s="18">
        <f>Entregables!F25</f>
        <v/>
      </c>
    </row>
    <row r="10" ht="45" customHeight="1">
      <c r="A10" s="18">
        <f>Entregables!C26</f>
        <v/>
      </c>
      <c r="B10" s="18">
        <f>Entregables!D26</f>
        <v/>
      </c>
      <c r="C10" s="18">
        <f>Entregables!E26</f>
        <v/>
      </c>
      <c r="D10" s="18">
        <f>Entregables!F26</f>
        <v/>
      </c>
    </row>
    <row r="11" ht="45" customHeight="1">
      <c r="A11" s="18" t="n"/>
      <c r="B11" s="18" t="n"/>
      <c r="C11" s="18" t="n"/>
      <c r="D11" s="18" t="n"/>
    </row>
    <row r="12"/>
    <row r="13"/>
    <row r="14"/>
    <row r="15"/>
    <row r="16"/>
    <row r="17"/>
    <row r="18"/>
    <row r="19"/>
    <row r="20"/>
    <row r="21"/>
    <row r="22"/>
    <row r="23"/>
    <row r="24"/>
    <row r="25"/>
    <row r="26"/>
    <row r="27"/>
    <row r="28"/>
    <row r="29"/>
    <row r="30"/>
    <row r="31"/>
    <row r="32"/>
    <row r="33"/>
    <row r="34"/>
    <row r="35"/>
    <row r="36"/>
    <row r="37"/>
    <row r="38"/>
    <row r="39"/>
  </sheetData>
  <hyperlinks>
    <hyperlink ref="A5" location="'Mapa de Impacto'!A1" display="← Volver al Mapa de Impacto"/>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2026-08-15T20:22:39Z</dcterms:created>
  <dcterms:modified xsi:type="dcterms:W3CDTF">2026-10-14T16:51:51Z</dcterms:modified>
  <cp:lastModifiedBy>Julian David Diaz Medina</cp:lastModifiedBy>
</cp:coreProperties>
</file>